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Title" sheetId="8" r:id="rId1"/>
    <sheet name="Revision History" sheetId="9" r:id="rId2"/>
    <sheet name="Common" sheetId="13" r:id="rId3"/>
    <sheet name="Tìm kiếm theo mã bưu điện" sheetId="2" r:id="rId4"/>
    <sheet name="Tìm kiếm theo mã tỉnh" sheetId="10" r:id="rId5"/>
  </sheets>
  <definedNames>
    <definedName name="aaa" localSheetId="2">#REF!</definedName>
    <definedName name="aaa" localSheetId="4">#REF!</definedName>
    <definedName name="aaa">#REF!</definedName>
    <definedName name="data" localSheetId="2">#REF!</definedName>
    <definedName name="data" localSheetId="4">#REF!</definedName>
    <definedName name="data">#REF!</definedName>
    <definedName name="data_1" localSheetId="2">#REF!</definedName>
    <definedName name="data_1" localSheetId="4">#REF!</definedName>
    <definedName name="data_1">#REF!</definedName>
    <definedName name="data1" localSheetId="2">#REF!</definedName>
    <definedName name="data1" localSheetId="4">#REF!</definedName>
    <definedName name="data1">#REF!</definedName>
    <definedName name="_xlnm.Print_Area" localSheetId="2">Common!$A$1:$BC$17</definedName>
    <definedName name="_xlnm.Print_Area" localSheetId="1">'Revision History'!$A$1:$BC$39</definedName>
    <definedName name="_xlnm.Print_Area" localSheetId="3">'Tìm kiếm theo mã bưu điện'!$A$1:$BC$89</definedName>
    <definedName name="_xlnm.Print_Area" localSheetId="4">'Tìm kiếm theo mã tỉnh'!$A$1:$BC$78</definedName>
    <definedName name="_xlnm.Print_Area" localSheetId="0">Title!$A$1:$AJ$38</definedName>
  </definedNames>
  <calcPr calcId="152511"/>
</workbook>
</file>

<file path=xl/calcChain.xml><?xml version="1.0" encoding="utf-8"?>
<calcChain xmlns="http://schemas.openxmlformats.org/spreadsheetml/2006/main">
  <c r="AV2" i="9" l="1"/>
  <c r="AL2" i="9"/>
  <c r="BA2" i="9"/>
  <c r="AZ2" i="10" l="1"/>
  <c r="AT2" i="10"/>
  <c r="AI2" i="10"/>
  <c r="AZ2" i="2"/>
  <c r="AT2" i="2"/>
  <c r="AI2" i="2"/>
  <c r="AI2" i="13"/>
  <c r="AT2" i="13"/>
  <c r="AZ2" i="13"/>
  <c r="Q1" i="13" l="1"/>
  <c r="Q1" i="10" l="1"/>
  <c r="A1" i="9"/>
  <c r="Q1" i="2" l="1"/>
</calcChain>
</file>

<file path=xl/sharedStrings.xml><?xml version="1.0" encoding="utf-8"?>
<sst xmlns="http://schemas.openxmlformats.org/spreadsheetml/2006/main" count="181" uniqueCount="105">
  <si>
    <t>Key</t>
  </si>
  <si>
    <t>【Step xử lý】</t>
  </si>
  <si>
    <t>LoiNV</t>
  </si>
  <si>
    <t>postCode</t>
  </si>
  <si>
    <t>String</t>
  </si>
  <si>
    <t>data</t>
  </si>
  <si>
    <t>code</t>
  </si>
  <si>
    <t>city</t>
  </si>
  <si>
    <t>city_kana</t>
  </si>
  <si>
    <t>prefecture</t>
  </si>
  <si>
    <t>prefecture_kana</t>
  </si>
  <si>
    <t>area</t>
  </si>
  <si>
    <t>area_kana</t>
  </si>
  <si>
    <t>multi_post_area</t>
  </si>
  <si>
    <t>koaza_area</t>
  </si>
  <si>
    <t>chome_area</t>
  </si>
  <si>
    <t>post_code</t>
  </si>
  <si>
    <t>old_post_code</t>
  </si>
  <si>
    <t>multi_area</t>
  </si>
  <si>
    <t>update_show</t>
  </si>
  <si>
    <t>change_reason</t>
  </si>
  <si>
    <t>1. Validate data input</t>
  </si>
  <si>
    <t>3. Response data với format JSON</t>
  </si>
  <si>
    <t>prefecture_code</t>
  </si>
  <si>
    <t xml:space="preserve">2. Search data </t>
  </si>
  <si>
    <t>prefectureCode</t>
  </si>
  <si>
    <t>Chỉ nhận số haftsize</t>
  </si>
  <si>
    <t>API Search Address</t>
  </si>
  <si>
    <t>CauNH</t>
  </si>
  <si>
    <t>API</t>
  </si>
  <si>
    <t>2.1. Kiểm tra data input ( postCode )</t>
  </si>
  <si>
    <t>Chú ý : Trước khi kiểm tra thì thực hiện replace các ký tự :  space và  "-"</t>
  </si>
  <si>
    <t>2.1. Kiểm tra data input ( prefectureCode )</t>
  </si>
  <si>
    <t>Update format</t>
  </si>
  <si>
    <t>Update lại đk so sanh (chuyển thành mapping hoàn toàn)</t>
  </si>
  <si>
    <t>- Check null</t>
  </si>
  <si>
    <t>b) Trường hợp postCode không phải số haftsize thì trả về lỗi 400</t>
  </si>
  <si>
    <t>- Check số haftSize</t>
  </si>
  <si>
    <t xml:space="preserve"> - Trường hợp số record = 0 thì trả về lỗi 404</t>
  </si>
  <si>
    <t xml:space="preserve"> - Trường hợp số record &gt; 0 thì trả về 200. Response như mục 3</t>
  </si>
  <si>
    <t>- Check số haftsize</t>
  </si>
  <si>
    <t>a) Trường hợp prefectureCode =  null  thì  trả về lỗi 400</t>
  </si>
  <si>
    <t>b) Trường hợp prefectureCode không phải số haftsize thì trả về lỗi 400</t>
  </si>
  <si>
    <t>a) Trường hợp postCode =  null  thì  trả về lỗi 400</t>
  </si>
  <si>
    <t xml:space="preserve"> - Trường hợp số record = 0 thì trả lỗi 404</t>
  </si>
  <si>
    <t>HTTP Status Code</t>
  </si>
  <si>
    <t>Reason</t>
  </si>
  <si>
    <t>Response Model</t>
  </si>
  <si>
    <t>{
  "error": "string",
  "error_description": "string"
}</t>
  </si>
  <si>
    <t>1. Thêm sheet mới  [Common]
2. Updare validate, định nghĩa error trả về, update header ( dùng công thức để tự động update  version và ngày )
3. Update theo thay đổi DB ( thêm bảng tbl_old_post)</t>
  </si>
  <si>
    <t>Cố gắng thao tác một tài nguyên không tồn tại.</t>
  </si>
  <si>
    <t>Một lỗi xảy ra ở phía máy chủ.</t>
  </si>
  <si>
    <t>Thiếu thông số bắt buộc, giá trị không hợp lệ hoặc request không đúng định dạng.</t>
  </si>
  <si>
    <t>Require</t>
  </si>
  <si>
    <t>yes</t>
  </si>
  <si>
    <t>Data type</t>
  </si>
  <si>
    <t>【Request：SearchByPostCodeRequest】</t>
  </si>
  <si>
    <t>【Response：SearchByPostCodeResponse】</t>
  </si>
  <si>
    <t>【Request：SearchByPrefectureCodeRequest】</t>
  </si>
  <si>
    <t>【Response：SearchByPrefectureCodeResponse】</t>
  </si>
  <si>
    <t>System Name</t>
  </si>
  <si>
    <t>Category</t>
  </si>
  <si>
    <t>Create</t>
  </si>
  <si>
    <t>Create date</t>
  </si>
  <si>
    <t>Update</t>
  </si>
  <si>
    <t>Update date</t>
  </si>
  <si>
    <t>Version</t>
  </si>
  <si>
    <t>Review</t>
  </si>
  <si>
    <t>Review date</t>
  </si>
  <si>
    <t>(Design)</t>
  </si>
  <si>
    <t>Tạo mới</t>
  </si>
  <si>
    <t>Ver</t>
  </si>
  <si>
    <t>Date</t>
  </si>
  <si>
    <t>Summary</t>
  </si>
  <si>
    <t>Update tiếng Nhật -&gt; tiếng Anh</t>
  </si>
  <si>
    <r>
      <t xml:space="preserve">Các column cần get xem bảng data response mô tả ở </t>
    </r>
    <r>
      <rPr>
        <b/>
        <sz val="11"/>
        <rFont val="Calibri"/>
        <family val="2"/>
        <scheme val="minor"/>
      </rPr>
      <t>【Response：SearchByPrefectureCodeResponse】</t>
    </r>
  </si>
  <si>
    <r>
      <t xml:space="preserve">Các column cần get xem bảng data response mô tả ở </t>
    </r>
    <r>
      <rPr>
        <b/>
        <sz val="11"/>
        <rFont val="Calibri"/>
        <family val="2"/>
        <scheme val="minor"/>
      </rPr>
      <t>【Response：SearchByPostCodeResponse】</t>
    </r>
  </si>
  <si>
    <t>Item name</t>
  </si>
  <si>
    <t>Description</t>
  </si>
  <si>
    <t>2.2. Kết quả</t>
  </si>
  <si>
    <t>1. Response Errors</t>
  </si>
  <si>
    <t>Tham chiếu mục  [1. Response Errors] trong sheet [Common]</t>
  </si>
  <si>
    <t>4. Response Errors</t>
  </si>
  <si>
    <t xml:space="preserve">Endpoint: </t>
  </si>
  <si>
    <t>Mã tỉnh</t>
  </si>
  <si>
    <t>Path param</t>
  </si>
  <si>
    <t>Mã hành chính</t>
  </si>
  <si>
    <t>Tên thành phố Kanji</t>
  </si>
  <si>
    <t>Tên thành phố Kana</t>
  </si>
  <si>
    <t>Tên tỉnh Kanji</t>
  </si>
  <si>
    <t>Tên tỉnh Kana</t>
  </si>
  <si>
    <t>Endpoint :</t>
  </si>
  <si>
    <t>GET /post_offices/prefectures/{prefectureCode}</t>
  </si>
  <si>
    <t>GET /post_offices/post/{postcode}</t>
  </si>
  <si>
    <t>Tên thị trấn Kanji</t>
  </si>
  <si>
    <t>Tên trị trấn Kana</t>
  </si>
  <si>
    <t>Multiple zip code flag</t>
  </si>
  <si>
    <t>Chome Flag</t>
  </si>
  <si>
    <t>Data</t>
  </si>
  <si>
    <t>Koaza flag</t>
  </si>
  <si>
    <t>Post code cũ</t>
  </si>
  <si>
    <t>Post code</t>
  </si>
  <si>
    <t>Multiple-town area flag</t>
  </si>
  <si>
    <t>Update flag</t>
  </si>
  <si>
    <t>Lý do thay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</si>
</sst>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/m/d;@"/>
    <numFmt numFmtId="165" formatCode="0.0"/>
    <numFmt numFmtId="166" formatCode="[$-404]e/m/d;@"/>
  </numFmts>
  <fonts count="14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8"/>
      <color theme="1"/>
      <name val="ＭＳ Ｐゴシック"/>
      <family val="3"/>
      <charset val="128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3" fillId="0" borderId="0">
      <alignment vertical="center"/>
    </xf>
    <xf numFmtId="166" fontId="2" fillId="0" borderId="0"/>
    <xf numFmtId="166" fontId="2" fillId="0" borderId="0"/>
    <xf numFmtId="166" fontId="3" fillId="0" borderId="0">
      <alignment vertical="center"/>
    </xf>
    <xf numFmtId="166" fontId="1" fillId="0" borderId="0"/>
    <xf numFmtId="166" fontId="2" fillId="0" borderId="0"/>
  </cellStyleXfs>
  <cellXfs count="172">
    <xf numFmtId="0" fontId="0" fillId="0" borderId="0" xfId="0"/>
    <xf numFmtId="166" fontId="4" fillId="2" borderId="0" xfId="3" applyFont="1" applyFill="1"/>
    <xf numFmtId="166" fontId="5" fillId="2" borderId="0" xfId="3" applyFont="1" applyFill="1" applyAlignment="1">
      <alignment horizontal="center"/>
    </xf>
    <xf numFmtId="166" fontId="6" fillId="0" borderId="4" xfId="7" applyFont="1" applyBorder="1" applyAlignment="1">
      <alignment horizontal="center" vertical="center"/>
    </xf>
    <xf numFmtId="0" fontId="7" fillId="0" borderId="4" xfId="7" applyNumberFormat="1" applyFont="1" applyBorder="1" applyAlignment="1">
      <alignment horizontal="center" vertical="center"/>
    </xf>
    <xf numFmtId="166" fontId="7" fillId="0" borderId="4" xfId="7" applyFont="1" applyBorder="1" applyAlignment="1">
      <alignment horizontal="left" vertical="top" wrapText="1"/>
    </xf>
    <xf numFmtId="166" fontId="7" fillId="0" borderId="4" xfId="7" applyFont="1" applyBorder="1" applyAlignment="1">
      <alignment horizontal="left" wrapText="1"/>
    </xf>
    <xf numFmtId="166" fontId="7" fillId="0" borderId="4" xfId="7" applyFont="1" applyBorder="1" applyAlignment="1">
      <alignment horizontal="left"/>
    </xf>
    <xf numFmtId="0" fontId="9" fillId="2" borderId="4" xfId="1" applyFont="1" applyFill="1" applyBorder="1" applyAlignment="1">
      <alignment horizontal="center" vertical="center" wrapText="1"/>
    </xf>
    <xf numFmtId="0" fontId="7" fillId="2" borderId="4" xfId="1" applyNumberFormat="1" applyFont="1" applyFill="1" applyBorder="1" applyAlignment="1">
      <alignment horizontal="center" vertical="center" wrapText="1"/>
    </xf>
    <xf numFmtId="0" fontId="7" fillId="2" borderId="4" xfId="1" applyNumberFormat="1" applyFont="1" applyFill="1" applyBorder="1" applyAlignment="1">
      <alignment horizontal="center" vertical="center"/>
    </xf>
    <xf numFmtId="49" fontId="7" fillId="2" borderId="4" xfId="6" applyNumberFormat="1" applyFont="1" applyFill="1" applyBorder="1" applyAlignment="1">
      <alignment horizontal="center" vertical="center"/>
    </xf>
    <xf numFmtId="164" fontId="10" fillId="2" borderId="4" xfId="6" applyNumberFormat="1" applyFont="1" applyFill="1" applyBorder="1" applyAlignment="1">
      <alignment horizontal="center" vertical="center"/>
    </xf>
    <xf numFmtId="165" fontId="7" fillId="2" borderId="4" xfId="6" applyNumberFormat="1" applyFont="1" applyFill="1" applyBorder="1" applyAlignment="1">
      <alignment horizontal="center" vertical="center"/>
    </xf>
    <xf numFmtId="0" fontId="7" fillId="2" borderId="0" xfId="0" applyFont="1" applyFill="1"/>
    <xf numFmtId="0" fontId="6" fillId="2" borderId="0" xfId="0" applyFont="1" applyFill="1"/>
    <xf numFmtId="49" fontId="6" fillId="4" borderId="1" xfId="1" applyNumberFormat="1" applyFont="1" applyFill="1" applyBorder="1" applyAlignment="1">
      <alignment horizontal="center" vertical="center"/>
    </xf>
    <xf numFmtId="49" fontId="6" fillId="4" borderId="2" xfId="1" applyNumberFormat="1" applyFont="1" applyFill="1" applyBorder="1" applyAlignment="1">
      <alignment horizontal="center" vertical="center"/>
    </xf>
    <xf numFmtId="49" fontId="6" fillId="4" borderId="3" xfId="1" applyNumberFormat="1" applyFont="1" applyFill="1" applyBorder="1" applyAlignment="1">
      <alignment horizontal="center" vertical="center"/>
    </xf>
    <xf numFmtId="0" fontId="6" fillId="4" borderId="2" xfId="1" applyNumberFormat="1" applyFont="1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/>
    <xf numFmtId="49" fontId="7" fillId="2" borderId="1" xfId="1" applyNumberFormat="1" applyFont="1" applyFill="1" applyBorder="1" applyAlignment="1">
      <alignment vertical="center"/>
    </xf>
    <xf numFmtId="49" fontId="7" fillId="2" borderId="2" xfId="1" applyNumberFormat="1" applyFont="1" applyFill="1" applyBorder="1" applyAlignment="1">
      <alignment vertical="center"/>
    </xf>
    <xf numFmtId="49" fontId="7" fillId="2" borderId="3" xfId="1" applyNumberFormat="1" applyFont="1" applyFill="1" applyBorder="1" applyAlignment="1">
      <alignment vertical="center"/>
    </xf>
    <xf numFmtId="49" fontId="7" fillId="2" borderId="0" xfId="1" applyNumberFormat="1" applyFont="1" applyFill="1"/>
    <xf numFmtId="0" fontId="6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quotePrefix="1" applyFont="1" applyFill="1" applyAlignment="1">
      <alignment vertical="center"/>
    </xf>
    <xf numFmtId="0" fontId="7" fillId="2" borderId="0" xfId="0" quotePrefix="1" applyFont="1" applyFill="1"/>
    <xf numFmtId="0" fontId="11" fillId="2" borderId="0" xfId="0" applyFont="1" applyFill="1"/>
    <xf numFmtId="0" fontId="7" fillId="3" borderId="4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7" fillId="2" borderId="0" xfId="0" quotePrefix="1" applyFont="1" applyFill="1" applyBorder="1" applyAlignment="1">
      <alignment horizontal="left" vertical="center"/>
    </xf>
    <xf numFmtId="0" fontId="7" fillId="2" borderId="0" xfId="0" applyFont="1" applyFill="1" applyAlignment="1">
      <alignment vertical="top"/>
    </xf>
    <xf numFmtId="0" fontId="10" fillId="2" borderId="0" xfId="0" applyFont="1" applyFill="1" applyBorder="1" applyAlignment="1">
      <alignment horizontal="center" vertical="center"/>
    </xf>
    <xf numFmtId="49" fontId="6" fillId="4" borderId="1" xfId="6" applyNumberFormat="1" applyFont="1" applyFill="1" applyBorder="1" applyAlignment="1">
      <alignment horizontal="center" vertical="center"/>
    </xf>
    <xf numFmtId="49" fontId="6" fillId="4" borderId="2" xfId="6" applyNumberFormat="1" applyFont="1" applyFill="1" applyBorder="1" applyAlignment="1">
      <alignment horizontal="center" vertical="center"/>
    </xf>
    <xf numFmtId="166" fontId="9" fillId="2" borderId="4" xfId="6" applyFont="1" applyFill="1" applyBorder="1" applyAlignment="1">
      <alignment horizontal="center" vertical="center" wrapText="1"/>
    </xf>
    <xf numFmtId="49" fontId="6" fillId="4" borderId="3" xfId="6" applyNumberFormat="1" applyFont="1" applyFill="1" applyBorder="1" applyAlignment="1">
      <alignment horizontal="center" vertical="center"/>
    </xf>
    <xf numFmtId="166" fontId="6" fillId="4" borderId="2" xfId="6" applyNumberFormat="1" applyFont="1" applyFill="1" applyBorder="1" applyAlignment="1">
      <alignment horizontal="center" vertical="center"/>
    </xf>
    <xf numFmtId="166" fontId="6" fillId="4" borderId="3" xfId="6" applyNumberFormat="1" applyFont="1" applyFill="1" applyBorder="1" applyAlignment="1">
      <alignment horizontal="center" vertical="center"/>
    </xf>
    <xf numFmtId="49" fontId="10" fillId="2" borderId="0" xfId="6" applyNumberFormat="1" applyFont="1" applyFill="1"/>
    <xf numFmtId="166" fontId="7" fillId="2" borderId="4" xfId="6" applyNumberFormat="1" applyFont="1" applyFill="1" applyBorder="1" applyAlignment="1">
      <alignment horizontal="center" vertical="center" wrapText="1"/>
    </xf>
    <xf numFmtId="166" fontId="7" fillId="2" borderId="4" xfId="6" applyNumberFormat="1" applyFont="1" applyFill="1" applyBorder="1" applyAlignment="1">
      <alignment horizontal="center" vertical="center"/>
    </xf>
    <xf numFmtId="49" fontId="7" fillId="2" borderId="1" xfId="6" applyNumberFormat="1" applyFont="1" applyFill="1" applyBorder="1" applyAlignment="1">
      <alignment vertical="center"/>
    </xf>
    <xf numFmtId="49" fontId="7" fillId="2" borderId="2" xfId="6" applyNumberFormat="1" applyFont="1" applyFill="1" applyBorder="1" applyAlignment="1">
      <alignment vertical="center"/>
    </xf>
    <xf numFmtId="49" fontId="7" fillId="2" borderId="3" xfId="6" applyNumberFormat="1" applyFont="1" applyFill="1" applyBorder="1" applyAlignment="1">
      <alignment vertical="center"/>
    </xf>
    <xf numFmtId="49" fontId="7" fillId="2" borderId="0" xfId="6" applyNumberFormat="1" applyFont="1" applyFill="1"/>
    <xf numFmtId="166" fontId="7" fillId="2" borderId="0" xfId="7" applyFont="1" applyFill="1"/>
    <xf numFmtId="166" fontId="6" fillId="2" borderId="0" xfId="7" applyFont="1" applyFill="1" applyAlignment="1">
      <alignment vertical="center"/>
    </xf>
    <xf numFmtId="166" fontId="2" fillId="2" borderId="0" xfId="4" applyFont="1" applyFill="1"/>
    <xf numFmtId="166" fontId="2" fillId="0" borderId="0" xfId="4" applyFont="1"/>
    <xf numFmtId="166" fontId="7" fillId="0" borderId="0" xfId="4" applyFont="1"/>
    <xf numFmtId="166" fontId="2" fillId="2" borderId="5" xfId="4" applyFont="1" applyFill="1" applyBorder="1" applyAlignment="1">
      <alignment horizontal="center" vertical="center" wrapText="1"/>
    </xf>
    <xf numFmtId="166" fontId="2" fillId="2" borderId="6" xfId="4" applyFont="1" applyFill="1" applyBorder="1" applyAlignment="1">
      <alignment horizontal="center" vertical="center" wrapText="1"/>
    </xf>
    <xf numFmtId="166" fontId="2" fillId="2" borderId="7" xfId="4" applyFont="1" applyFill="1" applyBorder="1" applyAlignment="1">
      <alignment horizontal="center" vertical="center" wrapText="1"/>
    </xf>
    <xf numFmtId="49" fontId="2" fillId="2" borderId="5" xfId="4" applyNumberFormat="1" applyFont="1" applyFill="1" applyBorder="1" applyAlignment="1">
      <alignment horizontal="center" vertical="center"/>
    </xf>
    <xf numFmtId="14" fontId="2" fillId="2" borderId="6" xfId="4" applyNumberFormat="1" applyFont="1" applyFill="1" applyBorder="1" applyAlignment="1">
      <alignment horizontal="center" vertical="center"/>
    </xf>
    <xf numFmtId="14" fontId="2" fillId="2" borderId="7" xfId="4" applyNumberFormat="1" applyFont="1" applyFill="1" applyBorder="1" applyAlignment="1">
      <alignment horizontal="center" vertical="center"/>
    </xf>
    <xf numFmtId="14" fontId="2" fillId="2" borderId="5" xfId="4" applyNumberFormat="1" applyFont="1" applyFill="1" applyBorder="1" applyAlignment="1">
      <alignment horizontal="center" vertical="center"/>
    </xf>
    <xf numFmtId="166" fontId="2" fillId="2" borderId="5" xfId="4" applyFont="1" applyFill="1" applyBorder="1" applyAlignment="1">
      <alignment horizontal="center" vertical="center"/>
    </xf>
    <xf numFmtId="166" fontId="2" fillId="2" borderId="6" xfId="4" applyFont="1" applyFill="1" applyBorder="1" applyAlignment="1">
      <alignment horizontal="center" vertical="center"/>
    </xf>
    <xf numFmtId="166" fontId="2" fillId="2" borderId="7" xfId="4" applyFont="1" applyFill="1" applyBorder="1" applyAlignment="1">
      <alignment horizontal="center" vertical="center"/>
    </xf>
    <xf numFmtId="166" fontId="2" fillId="2" borderId="10" xfId="4" applyFont="1" applyFill="1" applyBorder="1" applyAlignment="1">
      <alignment horizontal="center" vertical="center" wrapText="1"/>
    </xf>
    <xf numFmtId="166" fontId="2" fillId="2" borderId="11" xfId="4" applyFont="1" applyFill="1" applyBorder="1" applyAlignment="1">
      <alignment horizontal="center" vertical="center" wrapText="1"/>
    </xf>
    <xf numFmtId="166" fontId="2" fillId="2" borderId="12" xfId="4" applyFont="1" applyFill="1" applyBorder="1" applyAlignment="1">
      <alignment horizontal="center" vertical="center" wrapText="1"/>
    </xf>
    <xf numFmtId="14" fontId="2" fillId="2" borderId="10" xfId="4" applyNumberFormat="1" applyFont="1" applyFill="1" applyBorder="1" applyAlignment="1">
      <alignment horizontal="center" vertical="center"/>
    </xf>
    <xf numFmtId="14" fontId="2" fillId="2" borderId="11" xfId="4" applyNumberFormat="1" applyFont="1" applyFill="1" applyBorder="1" applyAlignment="1">
      <alignment horizontal="center" vertical="center"/>
    </xf>
    <xf numFmtId="14" fontId="2" fillId="2" borderId="12" xfId="4" applyNumberFormat="1" applyFont="1" applyFill="1" applyBorder="1" applyAlignment="1">
      <alignment horizontal="center" vertical="center"/>
    </xf>
    <xf numFmtId="166" fontId="2" fillId="2" borderId="10" xfId="4" applyFont="1" applyFill="1" applyBorder="1" applyAlignment="1">
      <alignment horizontal="center" vertical="center"/>
    </xf>
    <xf numFmtId="166" fontId="2" fillId="2" borderId="11" xfId="4" applyFont="1" applyFill="1" applyBorder="1" applyAlignment="1">
      <alignment horizontal="center" vertical="center"/>
    </xf>
    <xf numFmtId="166" fontId="2" fillId="2" borderId="12" xfId="4" applyFont="1" applyFill="1" applyBorder="1" applyAlignment="1">
      <alignment horizontal="center" vertical="center"/>
    </xf>
    <xf numFmtId="14" fontId="2" fillId="2" borderId="1" xfId="5" applyNumberFormat="1" applyFont="1" applyFill="1" applyBorder="1" applyAlignment="1">
      <alignment horizontal="center" vertical="top" wrapText="1"/>
    </xf>
    <xf numFmtId="14" fontId="2" fillId="2" borderId="2" xfId="5" applyNumberFormat="1" applyFont="1" applyFill="1" applyBorder="1" applyAlignment="1">
      <alignment horizontal="center" vertical="top" wrapText="1"/>
    </xf>
    <xf numFmtId="14" fontId="2" fillId="2" borderId="3" xfId="5" applyNumberFormat="1" applyFont="1" applyFill="1" applyBorder="1" applyAlignment="1">
      <alignment horizontal="center" vertical="top" wrapText="1"/>
    </xf>
    <xf numFmtId="166" fontId="2" fillId="2" borderId="1" xfId="4" applyFont="1" applyFill="1" applyBorder="1" applyAlignment="1">
      <alignment horizontal="left" vertical="top"/>
    </xf>
    <xf numFmtId="166" fontId="2" fillId="2" borderId="2" xfId="4" applyFont="1" applyFill="1" applyBorder="1" applyAlignment="1">
      <alignment horizontal="left" vertical="top"/>
    </xf>
    <xf numFmtId="166" fontId="2" fillId="2" borderId="3" xfId="4" applyFont="1" applyFill="1" applyBorder="1" applyAlignment="1">
      <alignment horizontal="left" vertical="top"/>
    </xf>
    <xf numFmtId="49" fontId="2" fillId="2" borderId="1" xfId="5" applyNumberFormat="1" applyFont="1" applyFill="1" applyBorder="1" applyAlignment="1">
      <alignment horizontal="center" vertical="top" wrapText="1"/>
    </xf>
    <xf numFmtId="49" fontId="2" fillId="2" borderId="2" xfId="5" applyNumberFormat="1" applyFont="1" applyFill="1" applyBorder="1" applyAlignment="1">
      <alignment horizontal="center" vertical="top" wrapText="1"/>
    </xf>
    <xf numFmtId="49" fontId="2" fillId="2" borderId="3" xfId="5" applyNumberFormat="1" applyFont="1" applyFill="1" applyBorder="1" applyAlignment="1">
      <alignment horizontal="center" vertical="top" wrapText="1"/>
    </xf>
    <xf numFmtId="166" fontId="7" fillId="2" borderId="1" xfId="4" applyFont="1" applyFill="1" applyBorder="1" applyAlignment="1">
      <alignment horizontal="left" vertical="top" wrapText="1"/>
    </xf>
    <xf numFmtId="166" fontId="7" fillId="2" borderId="2" xfId="4" applyFont="1" applyFill="1" applyBorder="1" applyAlignment="1">
      <alignment horizontal="left" vertical="top"/>
    </xf>
    <xf numFmtId="166" fontId="7" fillId="2" borderId="3" xfId="4" applyFont="1" applyFill="1" applyBorder="1" applyAlignment="1">
      <alignment horizontal="left" vertical="top"/>
    </xf>
    <xf numFmtId="49" fontId="7" fillId="2" borderId="1" xfId="5" applyNumberFormat="1" applyFont="1" applyFill="1" applyBorder="1" applyAlignment="1">
      <alignment horizontal="center" vertical="top" wrapText="1"/>
    </xf>
    <xf numFmtId="49" fontId="7" fillId="2" borderId="2" xfId="5" applyNumberFormat="1" applyFont="1" applyFill="1" applyBorder="1" applyAlignment="1">
      <alignment horizontal="center" vertical="top" wrapText="1"/>
    </xf>
    <xf numFmtId="49" fontId="7" fillId="2" borderId="3" xfId="5" applyNumberFormat="1" applyFont="1" applyFill="1" applyBorder="1" applyAlignment="1">
      <alignment horizontal="center" vertical="top" wrapText="1"/>
    </xf>
    <xf numFmtId="14" fontId="7" fillId="2" borderId="1" xfId="5" applyNumberFormat="1" applyFont="1" applyFill="1" applyBorder="1" applyAlignment="1">
      <alignment horizontal="center" vertical="top" wrapText="1"/>
    </xf>
    <xf numFmtId="14" fontId="7" fillId="2" borderId="2" xfId="5" applyNumberFormat="1" applyFont="1" applyFill="1" applyBorder="1" applyAlignment="1">
      <alignment horizontal="center" vertical="top" wrapText="1"/>
    </xf>
    <xf numFmtId="14" fontId="7" fillId="2" borderId="3" xfId="5" applyNumberFormat="1" applyFont="1" applyFill="1" applyBorder="1" applyAlignment="1">
      <alignment horizontal="center" vertical="top" wrapText="1"/>
    </xf>
    <xf numFmtId="166" fontId="2" fillId="2" borderId="1" xfId="4" applyFont="1" applyFill="1" applyBorder="1" applyAlignment="1">
      <alignment horizontal="left" vertical="center"/>
    </xf>
    <xf numFmtId="166" fontId="2" fillId="2" borderId="2" xfId="4" applyFont="1" applyFill="1" applyBorder="1" applyAlignment="1">
      <alignment horizontal="left" vertical="center"/>
    </xf>
    <xf numFmtId="166" fontId="2" fillId="2" borderId="3" xfId="4" applyFont="1" applyFill="1" applyBorder="1" applyAlignment="1">
      <alignment horizontal="left" vertical="center"/>
    </xf>
    <xf numFmtId="49" fontId="2" fillId="2" borderId="1" xfId="5" applyNumberFormat="1" applyFont="1" applyFill="1" applyBorder="1" applyAlignment="1">
      <alignment horizontal="center" vertical="center" wrapText="1"/>
    </xf>
    <xf numFmtId="49" fontId="2" fillId="2" borderId="2" xfId="5" applyNumberFormat="1" applyFont="1" applyFill="1" applyBorder="1" applyAlignment="1">
      <alignment horizontal="center" vertical="center" wrapText="1"/>
    </xf>
    <xf numFmtId="49" fontId="2" fillId="2" borderId="3" xfId="5" applyNumberFormat="1" applyFont="1" applyFill="1" applyBorder="1" applyAlignment="1">
      <alignment horizontal="center" vertical="center" wrapText="1"/>
    </xf>
    <xf numFmtId="166" fontId="12" fillId="4" borderId="1" xfId="4" applyFont="1" applyFill="1" applyBorder="1" applyAlignment="1">
      <alignment horizontal="center" vertical="center"/>
    </xf>
    <xf numFmtId="166" fontId="12" fillId="4" borderId="2" xfId="4" applyFont="1" applyFill="1" applyBorder="1" applyAlignment="1">
      <alignment horizontal="center" vertical="center"/>
    </xf>
    <xf numFmtId="166" fontId="12" fillId="4" borderId="3" xfId="4" applyFont="1" applyFill="1" applyBorder="1" applyAlignment="1">
      <alignment horizontal="center" vertical="center"/>
    </xf>
    <xf numFmtId="166" fontId="12" fillId="2" borderId="5" xfId="4" applyFont="1" applyFill="1" applyBorder="1" applyAlignment="1">
      <alignment horizontal="center" vertical="center" shrinkToFit="1"/>
    </xf>
    <xf numFmtId="166" fontId="12" fillId="2" borderId="6" xfId="4" applyFont="1" applyFill="1" applyBorder="1" applyAlignment="1">
      <alignment horizontal="center" vertical="center" shrinkToFit="1"/>
    </xf>
    <xf numFmtId="166" fontId="12" fillId="2" borderId="7" xfId="4" applyFont="1" applyFill="1" applyBorder="1" applyAlignment="1">
      <alignment horizontal="center" vertical="center" shrinkToFit="1"/>
    </xf>
    <xf numFmtId="166" fontId="12" fillId="2" borderId="8" xfId="4" applyFont="1" applyFill="1" applyBorder="1" applyAlignment="1">
      <alignment horizontal="center" vertical="center" shrinkToFit="1"/>
    </xf>
    <xf numFmtId="166" fontId="12" fillId="2" borderId="0" xfId="4" applyFont="1" applyFill="1" applyBorder="1" applyAlignment="1">
      <alignment horizontal="center" vertical="center" shrinkToFit="1"/>
    </xf>
    <xf numFmtId="166" fontId="12" fillId="2" borderId="9" xfId="4" applyFont="1" applyFill="1" applyBorder="1" applyAlignment="1">
      <alignment horizontal="center" vertical="center" shrinkToFit="1"/>
    </xf>
    <xf numFmtId="166" fontId="12" fillId="2" borderId="10" xfId="4" applyFont="1" applyFill="1" applyBorder="1" applyAlignment="1">
      <alignment horizontal="center" vertical="center" shrinkToFit="1"/>
    </xf>
    <xf numFmtId="166" fontId="12" fillId="2" borderId="11" xfId="4" applyFont="1" applyFill="1" applyBorder="1" applyAlignment="1">
      <alignment horizontal="center" vertical="center" shrinkToFit="1"/>
    </xf>
    <xf numFmtId="166" fontId="12" fillId="2" borderId="12" xfId="4" applyFont="1" applyFill="1" applyBorder="1" applyAlignment="1">
      <alignment horizontal="center" vertical="center" shrinkToFit="1"/>
    </xf>
    <xf numFmtId="49" fontId="8" fillId="4" borderId="5" xfId="5" applyNumberFormat="1" applyFont="1" applyFill="1" applyBorder="1" applyAlignment="1">
      <alignment horizontal="center" vertical="center" wrapText="1"/>
    </xf>
    <xf numFmtId="49" fontId="8" fillId="4" borderId="6" xfId="5" applyNumberFormat="1" applyFont="1" applyFill="1" applyBorder="1" applyAlignment="1">
      <alignment horizontal="center" vertical="center" wrapText="1"/>
    </xf>
    <xf numFmtId="49" fontId="8" fillId="4" borderId="7" xfId="5" applyNumberFormat="1" applyFont="1" applyFill="1" applyBorder="1" applyAlignment="1">
      <alignment horizontal="center" vertical="center" wrapText="1"/>
    </xf>
    <xf numFmtId="49" fontId="8" fillId="4" borderId="5" xfId="5" applyNumberFormat="1" applyFont="1" applyFill="1" applyBorder="1" applyAlignment="1">
      <alignment horizontal="center" vertical="center"/>
    </xf>
    <xf numFmtId="49" fontId="8" fillId="4" borderId="6" xfId="5" applyNumberFormat="1" applyFont="1" applyFill="1" applyBorder="1" applyAlignment="1">
      <alignment horizontal="center" vertical="center"/>
    </xf>
    <xf numFmtId="49" fontId="8" fillId="4" borderId="7" xfId="5" applyNumberFormat="1" applyFont="1" applyFill="1" applyBorder="1" applyAlignment="1">
      <alignment horizontal="center" vertical="center"/>
    </xf>
    <xf numFmtId="166" fontId="8" fillId="4" borderId="5" xfId="4" applyFont="1" applyFill="1" applyBorder="1" applyAlignment="1">
      <alignment horizontal="center" vertical="center"/>
    </xf>
    <xf numFmtId="166" fontId="8" fillId="4" borderId="6" xfId="4" applyFont="1" applyFill="1" applyBorder="1" applyAlignment="1">
      <alignment horizontal="center" vertical="center"/>
    </xf>
    <xf numFmtId="166" fontId="8" fillId="4" borderId="7" xfId="4" applyFont="1" applyFill="1" applyBorder="1" applyAlignment="1">
      <alignment horizontal="center" vertical="center"/>
    </xf>
    <xf numFmtId="49" fontId="8" fillId="4" borderId="8" xfId="5" applyNumberFormat="1" applyFont="1" applyFill="1" applyBorder="1" applyAlignment="1">
      <alignment horizontal="center" vertical="center" wrapText="1"/>
    </xf>
    <xf numFmtId="49" fontId="8" fillId="4" borderId="0" xfId="5" applyNumberFormat="1" applyFont="1" applyFill="1" applyBorder="1" applyAlignment="1">
      <alignment horizontal="center" vertical="center" wrapText="1"/>
    </xf>
    <xf numFmtId="49" fontId="8" fillId="4" borderId="9" xfId="5" applyNumberFormat="1" applyFont="1" applyFill="1" applyBorder="1" applyAlignment="1">
      <alignment horizontal="center" vertical="center" wrapText="1"/>
    </xf>
    <xf numFmtId="49" fontId="8" fillId="4" borderId="8" xfId="5" applyNumberFormat="1" applyFont="1" applyFill="1" applyBorder="1" applyAlignment="1">
      <alignment horizontal="center" vertical="center"/>
    </xf>
    <xf numFmtId="49" fontId="8" fillId="4" borderId="0" xfId="5" applyNumberFormat="1" applyFont="1" applyFill="1" applyBorder="1" applyAlignment="1">
      <alignment horizontal="center" vertical="center"/>
    </xf>
    <xf numFmtId="49" fontId="8" fillId="4" borderId="9" xfId="5" applyNumberFormat="1" applyFont="1" applyFill="1" applyBorder="1" applyAlignment="1">
      <alignment horizontal="center" vertical="center"/>
    </xf>
    <xf numFmtId="166" fontId="8" fillId="4" borderId="8" xfId="4" applyFont="1" applyFill="1" applyBorder="1" applyAlignment="1">
      <alignment horizontal="center" vertical="center"/>
    </xf>
    <xf numFmtId="166" fontId="8" fillId="4" borderId="0" xfId="4" applyFont="1" applyFill="1" applyBorder="1" applyAlignment="1">
      <alignment horizontal="center" vertical="center"/>
    </xf>
    <xf numFmtId="166" fontId="8" fillId="4" borderId="9" xfId="4" applyFont="1" applyFill="1" applyBorder="1" applyAlignment="1">
      <alignment horizontal="center" vertical="center"/>
    </xf>
    <xf numFmtId="49" fontId="8" fillId="4" borderId="10" xfId="5" applyNumberFormat="1" applyFont="1" applyFill="1" applyBorder="1" applyAlignment="1">
      <alignment horizontal="center" vertical="center" wrapText="1"/>
    </xf>
    <xf numFmtId="49" fontId="8" fillId="4" borderId="11" xfId="5" applyNumberFormat="1" applyFont="1" applyFill="1" applyBorder="1" applyAlignment="1">
      <alignment horizontal="center" vertical="center" wrapText="1"/>
    </xf>
    <xf numFmtId="49" fontId="8" fillId="4" borderId="12" xfId="5" applyNumberFormat="1" applyFont="1" applyFill="1" applyBorder="1" applyAlignment="1">
      <alignment horizontal="center" vertical="center" wrapText="1"/>
    </xf>
    <xf numFmtId="49" fontId="8" fillId="4" borderId="10" xfId="5" applyNumberFormat="1" applyFont="1" applyFill="1" applyBorder="1" applyAlignment="1">
      <alignment horizontal="center" vertical="center"/>
    </xf>
    <xf numFmtId="49" fontId="8" fillId="4" borderId="11" xfId="5" applyNumberFormat="1" applyFont="1" applyFill="1" applyBorder="1" applyAlignment="1">
      <alignment horizontal="center" vertical="center"/>
    </xf>
    <xf numFmtId="49" fontId="8" fillId="4" borderId="12" xfId="5" applyNumberFormat="1" applyFont="1" applyFill="1" applyBorder="1" applyAlignment="1">
      <alignment horizontal="center" vertical="center"/>
    </xf>
    <xf numFmtId="166" fontId="8" fillId="4" borderId="10" xfId="4" applyFont="1" applyFill="1" applyBorder="1" applyAlignment="1">
      <alignment horizontal="center" vertical="center"/>
    </xf>
    <xf numFmtId="166" fontId="8" fillId="4" borderId="11" xfId="4" applyFont="1" applyFill="1" applyBorder="1" applyAlignment="1">
      <alignment horizontal="center" vertical="center"/>
    </xf>
    <xf numFmtId="166" fontId="8" fillId="4" borderId="12" xfId="4" applyFont="1" applyFill="1" applyBorder="1" applyAlignment="1">
      <alignment horizontal="center" vertical="center"/>
    </xf>
    <xf numFmtId="165" fontId="2" fillId="2" borderId="1" xfId="5" applyNumberFormat="1" applyFont="1" applyFill="1" applyBorder="1" applyAlignment="1">
      <alignment horizontal="center" vertical="top" wrapText="1"/>
    </xf>
    <xf numFmtId="165" fontId="2" fillId="2" borderId="2" xfId="5" applyNumberFormat="1" applyFont="1" applyFill="1" applyBorder="1" applyAlignment="1">
      <alignment horizontal="center" vertical="top" wrapText="1"/>
    </xf>
    <xf numFmtId="165" fontId="2" fillId="2" borderId="3" xfId="5" applyNumberFormat="1" applyFont="1" applyFill="1" applyBorder="1" applyAlignment="1">
      <alignment horizontal="center" vertical="top" wrapText="1"/>
    </xf>
    <xf numFmtId="165" fontId="7" fillId="2" borderId="1" xfId="5" applyNumberFormat="1" applyFont="1" applyFill="1" applyBorder="1" applyAlignment="1">
      <alignment horizontal="center" vertical="top" wrapText="1"/>
    </xf>
    <xf numFmtId="165" fontId="7" fillId="2" borderId="2" xfId="5" applyNumberFormat="1" applyFont="1" applyFill="1" applyBorder="1" applyAlignment="1">
      <alignment horizontal="center" vertical="top" wrapText="1"/>
    </xf>
    <xf numFmtId="165" fontId="7" fillId="2" borderId="3" xfId="5" applyNumberFormat="1" applyFont="1" applyFill="1" applyBorder="1" applyAlignment="1">
      <alignment horizontal="center" vertical="top" wrapText="1"/>
    </xf>
    <xf numFmtId="165" fontId="2" fillId="2" borderId="5" xfId="4" applyNumberFormat="1" applyFont="1" applyFill="1" applyBorder="1" applyAlignment="1">
      <alignment horizontal="center" vertical="center"/>
    </xf>
    <xf numFmtId="165" fontId="2" fillId="2" borderId="6" xfId="4" applyNumberFormat="1" applyFont="1" applyFill="1" applyBorder="1" applyAlignment="1">
      <alignment horizontal="center" vertical="center"/>
    </xf>
    <xf numFmtId="165" fontId="2" fillId="2" borderId="7" xfId="4" applyNumberFormat="1" applyFont="1" applyFill="1" applyBorder="1" applyAlignment="1">
      <alignment horizontal="center" vertical="center"/>
    </xf>
    <xf numFmtId="165" fontId="2" fillId="2" borderId="10" xfId="4" applyNumberFormat="1" applyFont="1" applyFill="1" applyBorder="1" applyAlignment="1">
      <alignment horizontal="center" vertical="center"/>
    </xf>
    <xf numFmtId="165" fontId="2" fillId="2" borderId="11" xfId="4" applyNumberFormat="1" applyFont="1" applyFill="1" applyBorder="1" applyAlignment="1">
      <alignment horizontal="center" vertical="center"/>
    </xf>
    <xf numFmtId="165" fontId="2" fillId="2" borderId="12" xfId="4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3" fillId="0" borderId="0" xfId="0" applyFont="1"/>
  </cellXfs>
  <cellStyles count="8">
    <cellStyle name="Normal" xfId="0" builtinId="0"/>
    <cellStyle name="Normal 2" xfId="3"/>
    <cellStyle name="Normal 2 2" xfId="2"/>
    <cellStyle name="Normal 2 2 2" xfId="5"/>
    <cellStyle name="Normal 3" xfId="4"/>
    <cellStyle name="Normal 4" xfId="7"/>
    <cellStyle name="標準_【投資先管理】画面基本設計書_002_改版履歴" xfId="1"/>
    <cellStyle name="標準_【投資先管理】画面基本設計書_002_改版履歴 2" xfId="6"/>
  </cellStyles>
  <dxfs count="1">
    <dxf>
      <fill>
        <patternFill>
          <bgColor rgb="FFFFFF00"/>
        </patternFill>
      </fill>
    </dxf>
  </dxfs>
  <tableStyles count="0" defaultTableStyle="TableStyleMedium2" defaultPivotStyle="PivotStyleMedium9"/>
  <colors>
    <mruColors>
      <color rgb="FFFF3300"/>
      <color rgb="FFCCFFFF"/>
      <color rgb="FF66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</xdr:colOff>
      <xdr:row>6</xdr:row>
      <xdr:rowOff>95249</xdr:rowOff>
    </xdr:from>
    <xdr:ext cx="4619625" cy="876301"/>
    <xdr:sp macro="" textlink="">
      <xdr:nvSpPr>
        <xdr:cNvPr id="2" name="テキスト ボックス 1"/>
        <xdr:cNvSpPr txBox="1"/>
      </xdr:nvSpPr>
      <xdr:spPr>
        <a:xfrm>
          <a:off x="1190625" y="1123949"/>
          <a:ext cx="4619625" cy="876301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none">
          <a:noAutofit/>
        </a:bodyPr>
        <a:lstStyle/>
        <a:p>
          <a:pPr>
            <a:defRPr/>
          </a:pPr>
          <a:r>
            <a:rPr lang="vi-VN" sz="3000" b="1" i="0" u="none" baseline="0">
              <a:solidFill>
                <a:srgbClr val="000000"/>
              </a:solidFill>
              <a:latin typeface="メイリオ"/>
              <a:ea typeface="ＭＳ Ｐ明朝" panose="02020600040205080304" pitchFamily="18" charset="-128"/>
              <a:cs typeface="メイリオ"/>
            </a:rPr>
            <a:t>API Search Address</a:t>
          </a:r>
          <a:endParaRPr lang="vi-VN" altLang="ja-JP" sz="3000" b="1" i="0" u="none" baseline="0">
            <a:solidFill>
              <a:srgbClr val="000000"/>
            </a:solidFill>
            <a:latin typeface="メイリオ"/>
            <a:ea typeface="ＭＳ Ｐ明朝" panose="02020600040205080304" pitchFamily="18" charset="-128"/>
            <a:cs typeface="メイリオ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54</xdr:row>
      <xdr:rowOff>76201</xdr:rowOff>
    </xdr:from>
    <xdr:to>
      <xdr:col>32</xdr:col>
      <xdr:colOff>152400</xdr:colOff>
      <xdr:row>83</xdr:row>
      <xdr:rowOff>28575</xdr:rowOff>
    </xdr:to>
    <xdr:sp macro="" textlink="">
      <xdr:nvSpPr>
        <xdr:cNvPr id="2" name="TextBox 1"/>
        <xdr:cNvSpPr txBox="1"/>
      </xdr:nvSpPr>
      <xdr:spPr>
        <a:xfrm>
          <a:off x="762000" y="10420351"/>
          <a:ext cx="5486400" cy="5619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 ＭＳ ゴシック"/>
              <a:ea typeface="ＭＳ ゴシック" panose="020B0609070205080204" pitchFamily="49" charset="-128"/>
            </a:rPr>
            <a:t>{ 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"data":[ 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{ 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   "code":"22461",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   "prefecture":"</a:t>
          </a:r>
          <a:r>
            <a:rPr lang="ja-JP" altLang="en-US">
              <a:latin typeface=" ＭＳ ゴシック"/>
              <a:ea typeface="ＭＳ ゴシック" panose="020B0609070205080204" pitchFamily="49" charset="-128"/>
            </a:rPr>
            <a:t>静岡県</a:t>
          </a:r>
          <a:r>
            <a:rPr lang="en-US" altLang="ja-JP">
              <a:latin typeface=" ＭＳ ゴシック"/>
              <a:ea typeface="ＭＳ ゴシック" panose="020B0609070205080204" pitchFamily="49" charset="-128"/>
            </a:rPr>
            <a:t>",</a:t>
          </a:r>
          <a:br>
            <a:rPr lang="en-US" altLang="ja-JP">
              <a:latin typeface=" ＭＳ ゴシック"/>
              <a:ea typeface="ＭＳ ゴシック" panose="020B0609070205080204" pitchFamily="49" charset="-128"/>
            </a:rPr>
          </a:br>
          <a:r>
            <a:rPr lang="en-US" altLang="ja-JP">
              <a:latin typeface=" ＭＳ ゴシック"/>
              <a:ea typeface="ＭＳ ゴシック" panose="020B0609070205080204" pitchFamily="49" charset="-128"/>
            </a:rPr>
            <a:t>         "</a:t>
          </a:r>
          <a:r>
            <a:rPr lang="en-US">
              <a:latin typeface=" ＭＳ ゴシック"/>
              <a:ea typeface="ＭＳ ゴシック" panose="020B0609070205080204" pitchFamily="49" charset="-128"/>
            </a:rPr>
            <a:t>city":"</a:t>
          </a:r>
          <a:r>
            <a:rPr lang="ja-JP" altLang="en-US">
              <a:latin typeface=" ＭＳ ゴシック"/>
              <a:ea typeface="ＭＳ ゴシック" panose="020B0609070205080204" pitchFamily="49" charset="-128"/>
            </a:rPr>
            <a:t>周智郡森町</a:t>
          </a:r>
          <a:r>
            <a:rPr lang="en-US" altLang="ja-JP">
              <a:latin typeface=" ＭＳ ゴシック"/>
              <a:ea typeface="ＭＳ ゴシック" panose="020B0609070205080204" pitchFamily="49" charset="-128"/>
            </a:rPr>
            <a:t>",</a:t>
          </a:r>
          <a:br>
            <a:rPr lang="en-US" altLang="ja-JP">
              <a:latin typeface=" ＭＳ ゴシック"/>
              <a:ea typeface="ＭＳ ゴシック" panose="020B0609070205080204" pitchFamily="49" charset="-128"/>
            </a:rPr>
          </a:br>
          <a:r>
            <a:rPr lang="en-US" altLang="ja-JP">
              <a:latin typeface=" ＭＳ ゴシック"/>
              <a:ea typeface="ＭＳ ゴシック" panose="020B0609070205080204" pitchFamily="49" charset="-128"/>
            </a:rPr>
            <a:t>         "</a:t>
          </a:r>
          <a:r>
            <a:rPr lang="en-US">
              <a:latin typeface=" ＭＳ ゴシック"/>
              <a:ea typeface="ＭＳ ゴシック" panose="020B0609070205080204" pitchFamily="49" charset="-128"/>
            </a:rPr>
            <a:t>area":"</a:t>
          </a:r>
          <a:r>
            <a:rPr lang="ja-JP" altLang="en-US">
              <a:latin typeface=" ＭＳ ゴシック"/>
              <a:ea typeface="ＭＳ ゴシック" panose="020B0609070205080204" pitchFamily="49" charset="-128"/>
            </a:rPr>
            <a:t>飯田</a:t>
          </a:r>
          <a:r>
            <a:rPr lang="en-US" altLang="ja-JP">
              <a:latin typeface=" ＭＳ ゴシック"/>
              <a:ea typeface="ＭＳ ゴシック" panose="020B0609070205080204" pitchFamily="49" charset="-128"/>
            </a:rPr>
            <a:t>",</a:t>
          </a:r>
          <a:br>
            <a:rPr lang="en-US" altLang="ja-JP">
              <a:latin typeface=" ＭＳ ゴシック"/>
              <a:ea typeface="ＭＳ ゴシック" panose="020B0609070205080204" pitchFamily="49" charset="-128"/>
            </a:rPr>
          </a:br>
          <a:r>
            <a:rPr lang="en-US" altLang="ja-JP">
              <a:latin typeface=" ＭＳ ゴシック"/>
              <a:ea typeface="ＭＳ ゴシック" panose="020B0609070205080204" pitchFamily="49" charset="-128"/>
            </a:rPr>
            <a:t>         "</a:t>
          </a:r>
          <a:r>
            <a:rPr lang="en-US">
              <a:latin typeface=" ＭＳ ゴシック"/>
              <a:ea typeface="ＭＳ ゴシック" panose="020B0609070205080204" pitchFamily="49" charset="-128"/>
            </a:rPr>
            <a:t>old_post_code":"43702",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   "post_code":"4370222",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   "prefecture_kana":"</a:t>
          </a:r>
          <a:r>
            <a:rPr lang="ja-JP" altLang="en-US">
              <a:latin typeface=" ＭＳ ゴシック"/>
              <a:ea typeface="ＭＳ ゴシック" panose="020B0609070205080204" pitchFamily="49" charset="-128"/>
            </a:rPr>
            <a:t>ｼｽﾞｵｶｹﾝ</a:t>
          </a:r>
          <a:r>
            <a:rPr lang="en-US" altLang="ja-JP">
              <a:latin typeface=" ＭＳ ゴシック"/>
              <a:ea typeface="ＭＳ ゴシック" panose="020B0609070205080204" pitchFamily="49" charset="-128"/>
            </a:rPr>
            <a:t>",</a:t>
          </a:r>
          <a:br>
            <a:rPr lang="en-US" altLang="ja-JP">
              <a:latin typeface=" ＭＳ ゴシック"/>
              <a:ea typeface="ＭＳ ゴシック" panose="020B0609070205080204" pitchFamily="49" charset="-128"/>
            </a:rPr>
          </a:br>
          <a:r>
            <a:rPr lang="en-US" altLang="ja-JP">
              <a:latin typeface=" ＭＳ ゴシック"/>
              <a:ea typeface="ＭＳ ゴシック" panose="020B0609070205080204" pitchFamily="49" charset="-128"/>
            </a:rPr>
            <a:t>         "</a:t>
          </a:r>
          <a:r>
            <a:rPr lang="en-US">
              <a:latin typeface=" ＭＳ ゴシック"/>
              <a:ea typeface="ＭＳ ゴシック" panose="020B0609070205080204" pitchFamily="49" charset="-128"/>
            </a:rPr>
            <a:t>city_kana":"</a:t>
          </a:r>
          <a:r>
            <a:rPr lang="ja-JP" altLang="en-US">
              <a:latin typeface=" ＭＳ ゴシック"/>
              <a:ea typeface="ＭＳ ゴシック" panose="020B0609070205080204" pitchFamily="49" charset="-128"/>
            </a:rPr>
            <a:t>ｼｭｳﾁｸﾞﾝﾓﾘﾏﾁ</a:t>
          </a:r>
          <a:r>
            <a:rPr lang="en-US" altLang="ja-JP">
              <a:latin typeface=" ＭＳ ゴシック"/>
              <a:ea typeface="ＭＳ ゴシック" panose="020B0609070205080204" pitchFamily="49" charset="-128"/>
            </a:rPr>
            <a:t>",</a:t>
          </a:r>
          <a:br>
            <a:rPr lang="en-US" altLang="ja-JP">
              <a:latin typeface=" ＭＳ ゴシック"/>
              <a:ea typeface="ＭＳ ゴシック" panose="020B0609070205080204" pitchFamily="49" charset="-128"/>
            </a:rPr>
          </a:br>
          <a:r>
            <a:rPr lang="en-US" altLang="ja-JP">
              <a:latin typeface=" ＭＳ ゴシック"/>
              <a:ea typeface="ＭＳ ゴシック" panose="020B0609070205080204" pitchFamily="49" charset="-128"/>
            </a:rPr>
            <a:t>         "</a:t>
          </a:r>
          <a:r>
            <a:rPr lang="en-US">
              <a:latin typeface=" ＭＳ ゴシック"/>
              <a:ea typeface="ＭＳ ゴシック" panose="020B0609070205080204" pitchFamily="49" charset="-128"/>
            </a:rPr>
            <a:t>area_kana":"</a:t>
          </a:r>
          <a:r>
            <a:rPr lang="ja-JP" altLang="en-US">
              <a:latin typeface=" ＭＳ ゴシック"/>
              <a:ea typeface="ＭＳ ゴシック" panose="020B0609070205080204" pitchFamily="49" charset="-128"/>
            </a:rPr>
            <a:t>ｲｲﾀﾞ</a:t>
          </a:r>
          <a:r>
            <a:rPr lang="en-US" altLang="ja-JP">
              <a:latin typeface=" ＭＳ ゴシック"/>
              <a:ea typeface="ＭＳ ゴシック" panose="020B0609070205080204" pitchFamily="49" charset="-128"/>
            </a:rPr>
            <a:t>",</a:t>
          </a:r>
          <a:br>
            <a:rPr lang="en-US" altLang="ja-JP">
              <a:latin typeface=" ＭＳ ゴシック"/>
              <a:ea typeface="ＭＳ ゴシック" panose="020B0609070205080204" pitchFamily="49" charset="-128"/>
            </a:rPr>
          </a:br>
          <a:r>
            <a:rPr lang="en-US" altLang="ja-JP">
              <a:latin typeface=" ＭＳ ゴシック"/>
              <a:ea typeface="ＭＳ ゴシック" panose="020B0609070205080204" pitchFamily="49" charset="-128"/>
            </a:rPr>
            <a:t>         "</a:t>
          </a:r>
          <a:r>
            <a:rPr lang="en-US">
              <a:latin typeface=" ＭＳ ゴシック"/>
              <a:ea typeface="ＭＳ ゴシック" panose="020B0609070205080204" pitchFamily="49" charset="-128"/>
            </a:rPr>
            <a:t>multi_area":0,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   "koaza_area":0,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   "chome_area":0,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   "multi_post_area":0,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   "update_show":0,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   "change_reason":0,</a:t>
          </a:r>
        </a:p>
        <a:p>
          <a:r>
            <a:rPr lang="en-US" baseline="0">
              <a:latin typeface=" ＭＳ ゴシック"/>
              <a:ea typeface="ＭＳ ゴシック" panose="020B0609070205080204" pitchFamily="49" charset="-128"/>
            </a:rPr>
            <a:t>         </a:t>
          </a:r>
          <a:r>
            <a:rPr lang="en-US">
              <a:latin typeface=" ＭＳ ゴシック"/>
              <a:ea typeface="ＭＳ ゴシック" panose="020B0609070205080204" pitchFamily="49" charset="-128"/>
            </a:rPr>
            <a:t>"prefecture_code":"22"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      }</a:t>
          </a:r>
          <a:r>
            <a:rPr lang="en-US" sz="1100" b="0">
              <a:solidFill>
                <a:schemeClr val="dk1"/>
              </a:solidFill>
              <a:effectLst/>
              <a:latin typeface=" ＭＳ ゴシック"/>
              <a:ea typeface="ＭＳ ゴシック" panose="020B0609070205080204" pitchFamily="49" charset="-128"/>
              <a:cs typeface="+mn-cs"/>
            </a:rPr>
            <a:t>,</a:t>
          </a:r>
          <a:endParaRPr lang="en-US">
            <a:effectLst/>
            <a:latin typeface=" ＭＳ ゴシック"/>
            <a:ea typeface="ＭＳ ゴシック" panose="020B0609070205080204" pitchFamily="49" charset="-128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 ＭＳ ゴシック"/>
              <a:ea typeface="ＭＳ ゴシック" panose="020B0609070205080204" pitchFamily="49" charset="-128"/>
              <a:cs typeface="+mn-cs"/>
            </a:rPr>
            <a:t>      {</a:t>
          </a:r>
          <a:endParaRPr lang="en-US">
            <a:effectLst/>
            <a:latin typeface=" ＭＳ ゴシック"/>
            <a:ea typeface="ＭＳ ゴシック" panose="020B0609070205080204" pitchFamily="49" charset="-128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 ＭＳ ゴシック"/>
              <a:ea typeface="ＭＳ ゴシック" panose="020B0609070205080204" pitchFamily="49" charset="-128"/>
              <a:cs typeface="+mn-cs"/>
            </a:rPr>
            <a:t>          ....................</a:t>
          </a:r>
          <a:endParaRPr lang="en-US">
            <a:effectLst/>
            <a:latin typeface=" ＭＳ ゴシック"/>
            <a:ea typeface="ＭＳ ゴシック" panose="020B0609070205080204" pitchFamily="49" charset="-128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 ＭＳ ゴシック"/>
              <a:ea typeface="ＭＳ ゴシック" panose="020B0609070205080204" pitchFamily="49" charset="-128"/>
              <a:cs typeface="+mn-cs"/>
            </a:rPr>
            <a:t>      },</a:t>
          </a:r>
          <a:endParaRPr lang="en-US">
            <a:effectLst/>
            <a:latin typeface=" ＭＳ ゴシック"/>
            <a:ea typeface="ＭＳ ゴシック" panose="020B0609070205080204" pitchFamily="49" charset="-128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 ＭＳ ゴシック"/>
              <a:ea typeface="ＭＳ ゴシック" panose="020B0609070205080204" pitchFamily="49" charset="-128"/>
              <a:cs typeface="+mn-cs"/>
            </a:rPr>
            <a:t>      ........................</a:t>
          </a:r>
          <a:endParaRPr lang="en-US">
            <a:effectLst/>
            <a:latin typeface=" ＭＳ ゴシック"/>
            <a:ea typeface="ＭＳ ゴシック" panose="020B0609070205080204" pitchFamily="49" charset="-128"/>
          </a:endParaRPr>
        </a:p>
        <a:p>
          <a:r>
            <a:rPr lang="en-US">
              <a:latin typeface=" ＭＳ ゴシック"/>
              <a:ea typeface="ＭＳ ゴシック" panose="020B0609070205080204" pitchFamily="49" charset="-128"/>
            </a:rPr>
            <a:t>   ]</a:t>
          </a:r>
          <a:br>
            <a:rPr lang="en-US">
              <a:latin typeface=" ＭＳ ゴシック"/>
              <a:ea typeface="ＭＳ ゴシック" panose="020B0609070205080204" pitchFamily="49" charset="-128"/>
            </a:rPr>
          </a:br>
          <a:r>
            <a:rPr lang="en-US">
              <a:latin typeface=" ＭＳ ゴシック"/>
              <a:ea typeface="ＭＳ ゴシック" panose="020B0609070205080204" pitchFamily="49" charset="-128"/>
            </a:rPr>
            <a:t>}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45</xdr:row>
      <xdr:rowOff>9525</xdr:rowOff>
    </xdr:from>
    <xdr:to>
      <xdr:col>32</xdr:col>
      <xdr:colOff>152400</xdr:colOff>
      <xdr:row>72</xdr:row>
      <xdr:rowOff>76200</xdr:rowOff>
    </xdr:to>
    <xdr:sp macro="" textlink="">
      <xdr:nvSpPr>
        <xdr:cNvPr id="2" name="TextBox 1"/>
        <xdr:cNvSpPr txBox="1"/>
      </xdr:nvSpPr>
      <xdr:spPr>
        <a:xfrm>
          <a:off x="762000" y="8686800"/>
          <a:ext cx="5486400" cy="5572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 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"data":[ 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{ 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"code":"11101",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"prefecture":"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埼玉県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"city":"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さいたま市西区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"prefecture_kana":"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ｻｲﾀﾏｹﾝ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"city_kana":"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ｻｲﾀﾏｼﾆｼｸ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"prefecture_code":"11"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},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{ 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"code":"11102",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"prefecture":"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埼玉県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"city":"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さいたま市北区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"prefecture_kana":"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ｻｲﾀﾏｹﾝ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"city_kana":"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ｻｲﾀﾏｼｷﾀｸ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"prefecture_code":"11"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},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</a:t>
          </a:r>
          <a:endParaRPr lang="en-US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....................</a:t>
          </a:r>
          <a:endParaRPr lang="en-US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},</a:t>
          </a:r>
          <a:endParaRPr lang="en-US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........................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]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  <a:endParaRPr lang="en-US">
            <a:latin typeface=" ＭＳ ゴシック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3:AJ13"/>
  <sheetViews>
    <sheetView view="pageBreakPreview" zoomScaleNormal="100" zoomScaleSheetLayoutView="100" workbookViewId="0">
      <selection activeCell="A14" sqref="A14"/>
    </sheetView>
  </sheetViews>
  <sheetFormatPr defaultColWidth="2.85546875" defaultRowHeight="13.5"/>
  <cols>
    <col min="1" max="16384" width="2.85546875" style="1"/>
  </cols>
  <sheetData>
    <row r="13" spans="1:36" ht="15" customHeight="1">
      <c r="A13" s="2" t="s">
        <v>69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</sheetData>
  <mergeCells count="1">
    <mergeCell ref="A13:AJ13"/>
  </mergeCells>
  <pageMargins left="0.7" right="0.7" top="0.75" bottom="0.75" header="0.3" footer="0.3"/>
  <pageSetup paperSize="9" scale="8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39"/>
  <sheetViews>
    <sheetView view="pageBreakPreview" zoomScaleNormal="100" zoomScaleSheetLayoutView="100" workbookViewId="0">
      <selection activeCell="K27" sqref="K27:AS27"/>
    </sheetView>
  </sheetViews>
  <sheetFormatPr defaultColWidth="2.85546875" defaultRowHeight="15"/>
  <cols>
    <col min="1" max="54" width="2.85546875" style="72"/>
    <col min="55" max="55" width="2.85546875" style="72" customWidth="1"/>
    <col min="56" max="16384" width="2.85546875" style="72"/>
  </cols>
  <sheetData>
    <row r="1" spans="1:55" s="71" customFormat="1" ht="15" customHeight="1">
      <c r="A1" s="120" t="str">
        <f ca="1">RIGHT(CELL("filename",A1),
LEN(CELL("filename",A1))-FIND("]",CELL("filename",A1)))</f>
        <v>Revision History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2"/>
      <c r="Q1" s="117" t="s">
        <v>60</v>
      </c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9"/>
      <c r="AG1" s="117" t="s">
        <v>64</v>
      </c>
      <c r="AH1" s="118"/>
      <c r="AI1" s="118"/>
      <c r="AJ1" s="118"/>
      <c r="AK1" s="119"/>
      <c r="AL1" s="117" t="s">
        <v>65</v>
      </c>
      <c r="AM1" s="118"/>
      <c r="AN1" s="118"/>
      <c r="AO1" s="118"/>
      <c r="AP1" s="119"/>
      <c r="AQ1" s="117" t="s">
        <v>67</v>
      </c>
      <c r="AR1" s="118"/>
      <c r="AS1" s="118"/>
      <c r="AT1" s="118"/>
      <c r="AU1" s="119"/>
      <c r="AV1" s="117" t="s">
        <v>68</v>
      </c>
      <c r="AW1" s="118"/>
      <c r="AX1" s="118"/>
      <c r="AY1" s="118"/>
      <c r="AZ1" s="119"/>
      <c r="BA1" s="117" t="s">
        <v>71</v>
      </c>
      <c r="BB1" s="118"/>
      <c r="BC1" s="119"/>
    </row>
    <row r="2" spans="1:55" s="71" customFormat="1" ht="15" customHeigh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5"/>
      <c r="Q2" s="74" t="s">
        <v>27</v>
      </c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6"/>
      <c r="AG2" s="77" t="s">
        <v>2</v>
      </c>
      <c r="AH2" s="78"/>
      <c r="AI2" s="78"/>
      <c r="AJ2" s="78"/>
      <c r="AK2" s="79"/>
      <c r="AL2" s="80">
        <f>MAX(D8:J28)</f>
        <v>43395</v>
      </c>
      <c r="AM2" s="78"/>
      <c r="AN2" s="78"/>
      <c r="AO2" s="78"/>
      <c r="AP2" s="79"/>
      <c r="AQ2" s="81" t="s">
        <v>2</v>
      </c>
      <c r="AR2" s="82"/>
      <c r="AS2" s="82"/>
      <c r="AT2" s="82"/>
      <c r="AU2" s="83"/>
      <c r="AV2" s="80">
        <f>MAX(D8:J28)</f>
        <v>43395</v>
      </c>
      <c r="AW2" s="78"/>
      <c r="AX2" s="78"/>
      <c r="AY2" s="78"/>
      <c r="AZ2" s="79"/>
      <c r="BA2" s="162">
        <f>MAX(A8:C28)</f>
        <v>5</v>
      </c>
      <c r="BB2" s="163"/>
      <c r="BC2" s="164"/>
    </row>
    <row r="3" spans="1:55" s="71" customFormat="1" ht="15" customHeight="1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8"/>
      <c r="Q3" s="84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6"/>
      <c r="AG3" s="87"/>
      <c r="AH3" s="88"/>
      <c r="AI3" s="88"/>
      <c r="AJ3" s="88"/>
      <c r="AK3" s="89"/>
      <c r="AL3" s="87"/>
      <c r="AM3" s="88"/>
      <c r="AN3" s="88"/>
      <c r="AO3" s="88"/>
      <c r="AP3" s="89"/>
      <c r="AQ3" s="90"/>
      <c r="AR3" s="91"/>
      <c r="AS3" s="91"/>
      <c r="AT3" s="91"/>
      <c r="AU3" s="92"/>
      <c r="AV3" s="87"/>
      <c r="AW3" s="88"/>
      <c r="AX3" s="88"/>
      <c r="AY3" s="88"/>
      <c r="AZ3" s="89"/>
      <c r="BA3" s="165"/>
      <c r="BB3" s="166"/>
      <c r="BC3" s="167"/>
    </row>
    <row r="4" spans="1:55" s="71" customFormat="1"/>
    <row r="5" spans="1:55">
      <c r="A5" s="129" t="s">
        <v>71</v>
      </c>
      <c r="B5" s="130"/>
      <c r="C5" s="131"/>
      <c r="D5" s="132" t="s">
        <v>72</v>
      </c>
      <c r="E5" s="133"/>
      <c r="F5" s="133"/>
      <c r="G5" s="133"/>
      <c r="H5" s="133"/>
      <c r="I5" s="133"/>
      <c r="J5" s="134"/>
      <c r="K5" s="135" t="s">
        <v>73</v>
      </c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7"/>
      <c r="AT5" s="129" t="s">
        <v>64</v>
      </c>
      <c r="AU5" s="130"/>
      <c r="AV5" s="130"/>
      <c r="AW5" s="130"/>
      <c r="AX5" s="131"/>
      <c r="AY5" s="129" t="s">
        <v>67</v>
      </c>
      <c r="AZ5" s="130"/>
      <c r="BA5" s="130"/>
      <c r="BB5" s="130"/>
      <c r="BC5" s="131"/>
    </row>
    <row r="6" spans="1:55">
      <c r="A6" s="138"/>
      <c r="B6" s="139"/>
      <c r="C6" s="140"/>
      <c r="D6" s="141"/>
      <c r="E6" s="142"/>
      <c r="F6" s="142"/>
      <c r="G6" s="142"/>
      <c r="H6" s="142"/>
      <c r="I6" s="142"/>
      <c r="J6" s="143"/>
      <c r="K6" s="144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6"/>
      <c r="AT6" s="138"/>
      <c r="AU6" s="139"/>
      <c r="AV6" s="139"/>
      <c r="AW6" s="139"/>
      <c r="AX6" s="140"/>
      <c r="AY6" s="138"/>
      <c r="AZ6" s="139"/>
      <c r="BA6" s="139"/>
      <c r="BB6" s="139"/>
      <c r="BC6" s="140"/>
    </row>
    <row r="7" spans="1:55">
      <c r="A7" s="147"/>
      <c r="B7" s="148"/>
      <c r="C7" s="149"/>
      <c r="D7" s="150"/>
      <c r="E7" s="151"/>
      <c r="F7" s="151"/>
      <c r="G7" s="151"/>
      <c r="H7" s="151"/>
      <c r="I7" s="151"/>
      <c r="J7" s="152"/>
      <c r="K7" s="153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5"/>
      <c r="AT7" s="147"/>
      <c r="AU7" s="148"/>
      <c r="AV7" s="148"/>
      <c r="AW7" s="148"/>
      <c r="AX7" s="149"/>
      <c r="AY7" s="147"/>
      <c r="AZ7" s="148"/>
      <c r="BA7" s="148"/>
      <c r="BB7" s="148"/>
      <c r="BC7" s="149"/>
    </row>
    <row r="8" spans="1:55">
      <c r="A8" s="156">
        <v>1</v>
      </c>
      <c r="B8" s="157"/>
      <c r="C8" s="158"/>
      <c r="D8" s="93">
        <v>42789</v>
      </c>
      <c r="E8" s="94"/>
      <c r="F8" s="94"/>
      <c r="G8" s="94"/>
      <c r="H8" s="94"/>
      <c r="I8" s="94"/>
      <c r="J8" s="95"/>
      <c r="K8" s="96" t="s">
        <v>70</v>
      </c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8"/>
      <c r="AT8" s="99" t="s">
        <v>2</v>
      </c>
      <c r="AU8" s="100"/>
      <c r="AV8" s="100"/>
      <c r="AW8" s="100"/>
      <c r="AX8" s="101"/>
      <c r="AY8" s="99" t="s">
        <v>28</v>
      </c>
      <c r="AZ8" s="100"/>
      <c r="BA8" s="100"/>
      <c r="BB8" s="100"/>
      <c r="BC8" s="101"/>
    </row>
    <row r="9" spans="1:55">
      <c r="A9" s="159">
        <v>2</v>
      </c>
      <c r="B9" s="160"/>
      <c r="C9" s="161"/>
      <c r="D9" s="93">
        <v>42790</v>
      </c>
      <c r="E9" s="94"/>
      <c r="F9" s="94"/>
      <c r="G9" s="94"/>
      <c r="H9" s="94"/>
      <c r="I9" s="94"/>
      <c r="J9" s="95"/>
      <c r="K9" s="102" t="s">
        <v>33</v>
      </c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4"/>
      <c r="AT9" s="105" t="s">
        <v>2</v>
      </c>
      <c r="AU9" s="106"/>
      <c r="AV9" s="106"/>
      <c r="AW9" s="106"/>
      <c r="AX9" s="107"/>
      <c r="AY9" s="105" t="s">
        <v>28</v>
      </c>
      <c r="AZ9" s="106"/>
      <c r="BA9" s="106"/>
      <c r="BB9" s="106"/>
      <c r="BC9" s="107"/>
    </row>
    <row r="10" spans="1:55">
      <c r="A10" s="159">
        <v>3</v>
      </c>
      <c r="B10" s="160"/>
      <c r="C10" s="161"/>
      <c r="D10" s="108">
        <v>42793</v>
      </c>
      <c r="E10" s="109"/>
      <c r="F10" s="109"/>
      <c r="G10" s="109"/>
      <c r="H10" s="109"/>
      <c r="I10" s="109"/>
      <c r="J10" s="110"/>
      <c r="K10" s="102" t="s">
        <v>34</v>
      </c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4"/>
      <c r="AT10" s="105" t="s">
        <v>2</v>
      </c>
      <c r="AU10" s="106"/>
      <c r="AV10" s="106"/>
      <c r="AW10" s="106"/>
      <c r="AX10" s="107"/>
      <c r="AY10" s="105" t="s">
        <v>28</v>
      </c>
      <c r="AZ10" s="106"/>
      <c r="BA10" s="106"/>
      <c r="BB10" s="106"/>
      <c r="BC10" s="107"/>
    </row>
    <row r="11" spans="1:55" s="73" customFormat="1" ht="54" customHeight="1">
      <c r="A11" s="159">
        <v>4</v>
      </c>
      <c r="B11" s="160"/>
      <c r="C11" s="161"/>
      <c r="D11" s="108">
        <v>42795</v>
      </c>
      <c r="E11" s="109"/>
      <c r="F11" s="109"/>
      <c r="G11" s="109"/>
      <c r="H11" s="109"/>
      <c r="I11" s="109"/>
      <c r="J11" s="110"/>
      <c r="K11" s="102" t="s">
        <v>49</v>
      </c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4"/>
      <c r="AT11" s="105" t="s">
        <v>2</v>
      </c>
      <c r="AU11" s="106"/>
      <c r="AV11" s="106"/>
      <c r="AW11" s="106"/>
      <c r="AX11" s="107"/>
      <c r="AY11" s="105" t="s">
        <v>28</v>
      </c>
      <c r="AZ11" s="106"/>
      <c r="BA11" s="106"/>
      <c r="BB11" s="106"/>
      <c r="BC11" s="107"/>
    </row>
    <row r="12" spans="1:55">
      <c r="A12" s="156">
        <v>5</v>
      </c>
      <c r="B12" s="157"/>
      <c r="C12" s="158"/>
      <c r="D12" s="93">
        <v>43395</v>
      </c>
      <c r="E12" s="94"/>
      <c r="F12" s="94"/>
      <c r="G12" s="94"/>
      <c r="H12" s="94"/>
      <c r="I12" s="94"/>
      <c r="J12" s="95"/>
      <c r="K12" s="111" t="s">
        <v>74</v>
      </c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3"/>
      <c r="AT12" s="105" t="s">
        <v>2</v>
      </c>
      <c r="AU12" s="106"/>
      <c r="AV12" s="106"/>
      <c r="AW12" s="106"/>
      <c r="AX12" s="107"/>
      <c r="AY12" s="105" t="s">
        <v>2</v>
      </c>
      <c r="AZ12" s="106"/>
      <c r="BA12" s="106"/>
      <c r="BB12" s="106"/>
      <c r="BC12" s="107"/>
    </row>
    <row r="13" spans="1:55">
      <c r="A13" s="156"/>
      <c r="B13" s="157"/>
      <c r="C13" s="158"/>
      <c r="D13" s="93"/>
      <c r="E13" s="94"/>
      <c r="F13" s="94"/>
      <c r="G13" s="94"/>
      <c r="H13" s="94"/>
      <c r="I13" s="94"/>
      <c r="J13" s="95"/>
      <c r="K13" s="111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3"/>
      <c r="AT13" s="114"/>
      <c r="AU13" s="115"/>
      <c r="AV13" s="115"/>
      <c r="AW13" s="115"/>
      <c r="AX13" s="116"/>
      <c r="AY13" s="114"/>
      <c r="AZ13" s="115"/>
      <c r="BA13" s="115"/>
      <c r="BB13" s="115"/>
      <c r="BC13" s="116"/>
    </row>
    <row r="14" spans="1:55">
      <c r="A14" s="156"/>
      <c r="B14" s="157"/>
      <c r="C14" s="158"/>
      <c r="D14" s="93"/>
      <c r="E14" s="94"/>
      <c r="F14" s="94"/>
      <c r="G14" s="94"/>
      <c r="H14" s="94"/>
      <c r="I14" s="94"/>
      <c r="J14" s="95"/>
      <c r="K14" s="111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3"/>
      <c r="AT14" s="114"/>
      <c r="AU14" s="115"/>
      <c r="AV14" s="115"/>
      <c r="AW14" s="115"/>
      <c r="AX14" s="116"/>
      <c r="AY14" s="114"/>
      <c r="AZ14" s="115"/>
      <c r="BA14" s="115"/>
      <c r="BB14" s="115"/>
      <c r="BC14" s="116"/>
    </row>
    <row r="15" spans="1:55">
      <c r="A15" s="156"/>
      <c r="B15" s="157"/>
      <c r="C15" s="158"/>
      <c r="D15" s="93"/>
      <c r="E15" s="94"/>
      <c r="F15" s="94"/>
      <c r="G15" s="94"/>
      <c r="H15" s="94"/>
      <c r="I15" s="94"/>
      <c r="J15" s="95"/>
      <c r="K15" s="111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3"/>
      <c r="AT15" s="114"/>
      <c r="AU15" s="115"/>
      <c r="AV15" s="115"/>
      <c r="AW15" s="115"/>
      <c r="AX15" s="116"/>
      <c r="AY15" s="114"/>
      <c r="AZ15" s="115"/>
      <c r="BA15" s="115"/>
      <c r="BB15" s="115"/>
      <c r="BC15" s="116"/>
    </row>
    <row r="16" spans="1:55">
      <c r="A16" s="156"/>
      <c r="B16" s="157"/>
      <c r="C16" s="158"/>
      <c r="D16" s="93"/>
      <c r="E16" s="94"/>
      <c r="F16" s="94"/>
      <c r="G16" s="94"/>
      <c r="H16" s="94"/>
      <c r="I16" s="94"/>
      <c r="J16" s="95"/>
      <c r="K16" s="111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3"/>
      <c r="AT16" s="114"/>
      <c r="AU16" s="115"/>
      <c r="AV16" s="115"/>
      <c r="AW16" s="115"/>
      <c r="AX16" s="116"/>
      <c r="AY16" s="114"/>
      <c r="AZ16" s="115"/>
      <c r="BA16" s="115"/>
      <c r="BB16" s="115"/>
      <c r="BC16" s="116"/>
    </row>
    <row r="17" spans="1:55">
      <c r="A17" s="156"/>
      <c r="B17" s="157"/>
      <c r="C17" s="158"/>
      <c r="D17" s="93"/>
      <c r="E17" s="94"/>
      <c r="F17" s="94"/>
      <c r="G17" s="94"/>
      <c r="H17" s="94"/>
      <c r="I17" s="94"/>
      <c r="J17" s="95"/>
      <c r="K17" s="111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3"/>
      <c r="AT17" s="114"/>
      <c r="AU17" s="115"/>
      <c r="AV17" s="115"/>
      <c r="AW17" s="115"/>
      <c r="AX17" s="116"/>
      <c r="AY17" s="114"/>
      <c r="AZ17" s="115"/>
      <c r="BA17" s="115"/>
      <c r="BB17" s="115"/>
      <c r="BC17" s="116"/>
    </row>
    <row r="18" spans="1:55">
      <c r="A18" s="156"/>
      <c r="B18" s="157"/>
      <c r="C18" s="158"/>
      <c r="D18" s="93"/>
      <c r="E18" s="94"/>
      <c r="F18" s="94"/>
      <c r="G18" s="94"/>
      <c r="H18" s="94"/>
      <c r="I18" s="94"/>
      <c r="J18" s="95"/>
      <c r="K18" s="111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3"/>
      <c r="AT18" s="114"/>
      <c r="AU18" s="115"/>
      <c r="AV18" s="115"/>
      <c r="AW18" s="115"/>
      <c r="AX18" s="116"/>
      <c r="AY18" s="114"/>
      <c r="AZ18" s="115"/>
      <c r="BA18" s="115"/>
      <c r="BB18" s="115"/>
      <c r="BC18" s="116"/>
    </row>
    <row r="19" spans="1:55">
      <c r="A19" s="156"/>
      <c r="B19" s="157"/>
      <c r="C19" s="158"/>
      <c r="D19" s="93"/>
      <c r="E19" s="94"/>
      <c r="F19" s="94"/>
      <c r="G19" s="94"/>
      <c r="H19" s="94"/>
      <c r="I19" s="94"/>
      <c r="J19" s="95"/>
      <c r="K19" s="111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3"/>
      <c r="AT19" s="114"/>
      <c r="AU19" s="115"/>
      <c r="AV19" s="115"/>
      <c r="AW19" s="115"/>
      <c r="AX19" s="116"/>
      <c r="AY19" s="114"/>
      <c r="AZ19" s="115"/>
      <c r="BA19" s="115"/>
      <c r="BB19" s="115"/>
      <c r="BC19" s="116"/>
    </row>
    <row r="20" spans="1:55">
      <c r="A20" s="156"/>
      <c r="B20" s="157"/>
      <c r="C20" s="158"/>
      <c r="D20" s="93"/>
      <c r="E20" s="94"/>
      <c r="F20" s="94"/>
      <c r="G20" s="94"/>
      <c r="H20" s="94"/>
      <c r="I20" s="94"/>
      <c r="J20" s="95"/>
      <c r="K20" s="111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3"/>
      <c r="AT20" s="114"/>
      <c r="AU20" s="115"/>
      <c r="AV20" s="115"/>
      <c r="AW20" s="115"/>
      <c r="AX20" s="116"/>
      <c r="AY20" s="114"/>
      <c r="AZ20" s="115"/>
      <c r="BA20" s="115"/>
      <c r="BB20" s="115"/>
      <c r="BC20" s="116"/>
    </row>
    <row r="21" spans="1:55">
      <c r="A21" s="156"/>
      <c r="B21" s="157"/>
      <c r="C21" s="158"/>
      <c r="D21" s="93"/>
      <c r="E21" s="94"/>
      <c r="F21" s="94"/>
      <c r="G21" s="94"/>
      <c r="H21" s="94"/>
      <c r="I21" s="94"/>
      <c r="J21" s="95"/>
      <c r="K21" s="111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3"/>
      <c r="AT21" s="114"/>
      <c r="AU21" s="115"/>
      <c r="AV21" s="115"/>
      <c r="AW21" s="115"/>
      <c r="AX21" s="116"/>
      <c r="AY21" s="114"/>
      <c r="AZ21" s="115"/>
      <c r="BA21" s="115"/>
      <c r="BB21" s="115"/>
      <c r="BC21" s="116"/>
    </row>
    <row r="22" spans="1:55">
      <c r="A22" s="156"/>
      <c r="B22" s="157"/>
      <c r="C22" s="158"/>
      <c r="D22" s="93"/>
      <c r="E22" s="94"/>
      <c r="F22" s="94"/>
      <c r="G22" s="94"/>
      <c r="H22" s="94"/>
      <c r="I22" s="94"/>
      <c r="J22" s="95"/>
      <c r="K22" s="111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3"/>
      <c r="AT22" s="114"/>
      <c r="AU22" s="115"/>
      <c r="AV22" s="115"/>
      <c r="AW22" s="115"/>
      <c r="AX22" s="116"/>
      <c r="AY22" s="114"/>
      <c r="AZ22" s="115"/>
      <c r="BA22" s="115"/>
      <c r="BB22" s="115"/>
      <c r="BC22" s="116"/>
    </row>
    <row r="23" spans="1:55">
      <c r="A23" s="156"/>
      <c r="B23" s="157"/>
      <c r="C23" s="158"/>
      <c r="D23" s="93"/>
      <c r="E23" s="94"/>
      <c r="F23" s="94"/>
      <c r="G23" s="94"/>
      <c r="H23" s="94"/>
      <c r="I23" s="94"/>
      <c r="J23" s="95"/>
      <c r="K23" s="111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3"/>
      <c r="AT23" s="114"/>
      <c r="AU23" s="115"/>
      <c r="AV23" s="115"/>
      <c r="AW23" s="115"/>
      <c r="AX23" s="116"/>
      <c r="AY23" s="114"/>
      <c r="AZ23" s="115"/>
      <c r="BA23" s="115"/>
      <c r="BB23" s="115"/>
      <c r="BC23" s="116"/>
    </row>
    <row r="24" spans="1:55">
      <c r="A24" s="156"/>
      <c r="B24" s="157"/>
      <c r="C24" s="158"/>
      <c r="D24" s="93"/>
      <c r="E24" s="94"/>
      <c r="F24" s="94"/>
      <c r="G24" s="94"/>
      <c r="H24" s="94"/>
      <c r="I24" s="94"/>
      <c r="J24" s="95"/>
      <c r="K24" s="111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3"/>
      <c r="AT24" s="114"/>
      <c r="AU24" s="115"/>
      <c r="AV24" s="115"/>
      <c r="AW24" s="115"/>
      <c r="AX24" s="116"/>
      <c r="AY24" s="114"/>
      <c r="AZ24" s="115"/>
      <c r="BA24" s="115"/>
      <c r="BB24" s="115"/>
      <c r="BC24" s="116"/>
    </row>
    <row r="25" spans="1:55">
      <c r="A25" s="156"/>
      <c r="B25" s="157"/>
      <c r="C25" s="158"/>
      <c r="D25" s="93"/>
      <c r="E25" s="94"/>
      <c r="F25" s="94"/>
      <c r="G25" s="94"/>
      <c r="H25" s="94"/>
      <c r="I25" s="94"/>
      <c r="J25" s="95"/>
      <c r="K25" s="111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3"/>
      <c r="AT25" s="114"/>
      <c r="AU25" s="115"/>
      <c r="AV25" s="115"/>
      <c r="AW25" s="115"/>
      <c r="AX25" s="116"/>
      <c r="AY25" s="114"/>
      <c r="AZ25" s="115"/>
      <c r="BA25" s="115"/>
      <c r="BB25" s="115"/>
      <c r="BC25" s="116"/>
    </row>
    <row r="26" spans="1:55">
      <c r="A26" s="156"/>
      <c r="B26" s="157"/>
      <c r="C26" s="158"/>
      <c r="D26" s="93"/>
      <c r="E26" s="94"/>
      <c r="F26" s="94"/>
      <c r="G26" s="94"/>
      <c r="H26" s="94"/>
      <c r="I26" s="94"/>
      <c r="J26" s="95"/>
      <c r="K26" s="111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3"/>
      <c r="AT26" s="114"/>
      <c r="AU26" s="115"/>
      <c r="AV26" s="115"/>
      <c r="AW26" s="115"/>
      <c r="AX26" s="116"/>
      <c r="AY26" s="114"/>
      <c r="AZ26" s="115"/>
      <c r="BA26" s="115"/>
      <c r="BB26" s="115"/>
      <c r="BC26" s="116"/>
    </row>
    <row r="27" spans="1:55">
      <c r="A27" s="156"/>
      <c r="B27" s="157"/>
      <c r="C27" s="158"/>
      <c r="D27" s="93"/>
      <c r="E27" s="94"/>
      <c r="F27" s="94"/>
      <c r="G27" s="94"/>
      <c r="H27" s="94"/>
      <c r="I27" s="94"/>
      <c r="J27" s="95"/>
      <c r="K27" s="111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3"/>
      <c r="AT27" s="114"/>
      <c r="AU27" s="115"/>
      <c r="AV27" s="115"/>
      <c r="AW27" s="115"/>
      <c r="AX27" s="116"/>
      <c r="AY27" s="114"/>
      <c r="AZ27" s="115"/>
      <c r="BA27" s="115"/>
      <c r="BB27" s="115"/>
      <c r="BC27" s="116"/>
    </row>
    <row r="28" spans="1:55">
      <c r="A28" s="156"/>
      <c r="B28" s="157"/>
      <c r="C28" s="158"/>
      <c r="D28" s="93"/>
      <c r="E28" s="94"/>
      <c r="F28" s="94"/>
      <c r="G28" s="94"/>
      <c r="H28" s="94"/>
      <c r="I28" s="94"/>
      <c r="J28" s="95"/>
      <c r="K28" s="111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3"/>
      <c r="AT28" s="114"/>
      <c r="AU28" s="115"/>
      <c r="AV28" s="115"/>
      <c r="AW28" s="115"/>
      <c r="AX28" s="116"/>
      <c r="AY28" s="114"/>
      <c r="AZ28" s="115"/>
      <c r="BA28" s="115"/>
      <c r="BB28" s="115"/>
      <c r="BC28" s="116"/>
    </row>
    <row r="29" spans="1:5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</row>
    <row r="30" spans="1:5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</row>
    <row r="31" spans="1:5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</row>
    <row r="32" spans="1:5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</row>
    <row r="33" spans="1:5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</row>
    <row r="34" spans="1:55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</row>
    <row r="35" spans="1:5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</row>
    <row r="36" spans="1:5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</row>
    <row r="37" spans="1:5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</row>
    <row r="38" spans="1:5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</row>
    <row r="39" spans="1:5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</row>
  </sheetData>
  <mergeCells count="123">
    <mergeCell ref="BA1:BC1"/>
    <mergeCell ref="Q2:AF3"/>
    <mergeCell ref="AG2:AK3"/>
    <mergeCell ref="AL2:AP3"/>
    <mergeCell ref="AQ2:AU3"/>
    <mergeCell ref="AV2:AZ3"/>
    <mergeCell ref="BA2:BC3"/>
    <mergeCell ref="A1:P3"/>
    <mergeCell ref="Q1:AF1"/>
    <mergeCell ref="AG1:AK1"/>
    <mergeCell ref="AL1:AP1"/>
    <mergeCell ref="AQ1:AU1"/>
    <mergeCell ref="AV1:AZ1"/>
    <mergeCell ref="A5:C7"/>
    <mergeCell ref="D5:J7"/>
    <mergeCell ref="K5:AS7"/>
    <mergeCell ref="AT5:AX7"/>
    <mergeCell ref="AY5:BC7"/>
    <mergeCell ref="A8:C8"/>
    <mergeCell ref="D8:J8"/>
    <mergeCell ref="K8:AS8"/>
    <mergeCell ref="AT8:AX8"/>
    <mergeCell ref="AY8:BC8"/>
    <mergeCell ref="A9:C9"/>
    <mergeCell ref="D9:J9"/>
    <mergeCell ref="K9:AS9"/>
    <mergeCell ref="AT9:AX9"/>
    <mergeCell ref="AY9:BC9"/>
    <mergeCell ref="A10:C10"/>
    <mergeCell ref="D10:J10"/>
    <mergeCell ref="K10:AS10"/>
    <mergeCell ref="AT10:AX10"/>
    <mergeCell ref="AY10:BC10"/>
    <mergeCell ref="A11:C11"/>
    <mergeCell ref="D11:J11"/>
    <mergeCell ref="K11:AS11"/>
    <mergeCell ref="AT11:AX11"/>
    <mergeCell ref="AY11:BC11"/>
    <mergeCell ref="A12:C12"/>
    <mergeCell ref="D12:J12"/>
    <mergeCell ref="K12:AS12"/>
    <mergeCell ref="AT12:AX12"/>
    <mergeCell ref="AY12:BC12"/>
    <mergeCell ref="A13:C13"/>
    <mergeCell ref="D13:J13"/>
    <mergeCell ref="K13:AS13"/>
    <mergeCell ref="AT13:AX13"/>
    <mergeCell ref="AY13:BC13"/>
    <mergeCell ref="A14:C14"/>
    <mergeCell ref="D14:J14"/>
    <mergeCell ref="K14:AS14"/>
    <mergeCell ref="AT14:AX14"/>
    <mergeCell ref="AY14:BC14"/>
    <mergeCell ref="A15:C15"/>
    <mergeCell ref="D15:J15"/>
    <mergeCell ref="K15:AS15"/>
    <mergeCell ref="AT15:AX15"/>
    <mergeCell ref="AY15:BC15"/>
    <mergeCell ref="A16:C16"/>
    <mergeCell ref="D16:J16"/>
    <mergeCell ref="K16:AS16"/>
    <mergeCell ref="AT16:AX16"/>
    <mergeCell ref="AY16:BC16"/>
    <mergeCell ref="A17:C17"/>
    <mergeCell ref="D17:J17"/>
    <mergeCell ref="K17:AS17"/>
    <mergeCell ref="AT17:AX17"/>
    <mergeCell ref="AY17:BC17"/>
    <mergeCell ref="A18:C18"/>
    <mergeCell ref="D18:J18"/>
    <mergeCell ref="K18:AS18"/>
    <mergeCell ref="AT18:AX18"/>
    <mergeCell ref="AY18:BC18"/>
    <mergeCell ref="A19:C19"/>
    <mergeCell ref="D19:J19"/>
    <mergeCell ref="K19:AS19"/>
    <mergeCell ref="AT19:AX19"/>
    <mergeCell ref="AY19:BC19"/>
    <mergeCell ref="A20:C20"/>
    <mergeCell ref="D20:J20"/>
    <mergeCell ref="K20:AS20"/>
    <mergeCell ref="AT20:AX20"/>
    <mergeCell ref="AY20:BC20"/>
    <mergeCell ref="A21:C21"/>
    <mergeCell ref="D21:J21"/>
    <mergeCell ref="K21:AS21"/>
    <mergeCell ref="AT21:AX21"/>
    <mergeCell ref="AY21:BC21"/>
    <mergeCell ref="A22:C22"/>
    <mergeCell ref="D22:J22"/>
    <mergeCell ref="K22:AS22"/>
    <mergeCell ref="AT22:AX22"/>
    <mergeCell ref="AY22:BC22"/>
    <mergeCell ref="A23:C23"/>
    <mergeCell ref="D23:J23"/>
    <mergeCell ref="K23:AS23"/>
    <mergeCell ref="AT23:AX23"/>
    <mergeCell ref="AY23:BC23"/>
    <mergeCell ref="A24:C24"/>
    <mergeCell ref="D24:J24"/>
    <mergeCell ref="K24:AS24"/>
    <mergeCell ref="AT24:AX24"/>
    <mergeCell ref="AY24:BC24"/>
    <mergeCell ref="A25:C25"/>
    <mergeCell ref="D25:J25"/>
    <mergeCell ref="K25:AS25"/>
    <mergeCell ref="AT25:AX25"/>
    <mergeCell ref="AY25:BC25"/>
    <mergeCell ref="A26:C26"/>
    <mergeCell ref="D26:J26"/>
    <mergeCell ref="K26:AS26"/>
    <mergeCell ref="AT26:AX26"/>
    <mergeCell ref="AY26:BC26"/>
    <mergeCell ref="A27:C27"/>
    <mergeCell ref="D27:J27"/>
    <mergeCell ref="K27:AS27"/>
    <mergeCell ref="AT27:AX27"/>
    <mergeCell ref="AY27:BC27"/>
    <mergeCell ref="A28:C28"/>
    <mergeCell ref="D28:J28"/>
    <mergeCell ref="K28:AS28"/>
    <mergeCell ref="AT28:AX28"/>
    <mergeCell ref="AY28:BC28"/>
  </mergeCells>
  <conditionalFormatting sqref="Q2">
    <cfRule type="expression" dxfId="0" priority="1">
      <formula>AND(Q2="")</formula>
    </cfRule>
  </conditionalFormatting>
  <pageMargins left="0.7" right="0.7" top="0.75" bottom="0.75" header="0.3" footer="0.3"/>
  <pageSetup paperSize="9" scale="5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"/>
  <sheetViews>
    <sheetView view="pageBreakPreview" zoomScaleNormal="100" zoomScaleSheetLayoutView="100" workbookViewId="0">
      <selection activeCell="M12" sqref="M12:AE12"/>
    </sheetView>
  </sheetViews>
  <sheetFormatPr defaultColWidth="2" defaultRowHeight="12.75" customHeight="1"/>
  <cols>
    <col min="1" max="55" width="2.85546875" style="69" customWidth="1"/>
    <col min="56" max="16384" width="2" style="69"/>
  </cols>
  <sheetData>
    <row r="1" spans="1:55" s="62" customFormat="1" ht="15">
      <c r="A1" s="56" t="s">
        <v>60</v>
      </c>
      <c r="B1" s="57"/>
      <c r="C1" s="57"/>
      <c r="D1" s="57"/>
      <c r="E1" s="57"/>
      <c r="F1" s="57"/>
      <c r="G1" s="57"/>
      <c r="H1" s="57"/>
      <c r="I1" s="56" t="s">
        <v>61</v>
      </c>
      <c r="J1" s="57"/>
      <c r="K1" s="57"/>
      <c r="L1" s="57"/>
      <c r="M1" s="57"/>
      <c r="N1" s="57"/>
      <c r="O1" s="57"/>
      <c r="P1" s="57"/>
      <c r="Q1" s="58" t="str">
        <f ca="1">MID(CELL("filename",A1),FIND("]",CELL("filename",A1))+1,255)</f>
        <v>Common</v>
      </c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6" t="s">
        <v>62</v>
      </c>
      <c r="AE1" s="57"/>
      <c r="AF1" s="57"/>
      <c r="AG1" s="57"/>
      <c r="AH1" s="59"/>
      <c r="AI1" s="56" t="s">
        <v>63</v>
      </c>
      <c r="AJ1" s="57"/>
      <c r="AK1" s="57"/>
      <c r="AL1" s="57"/>
      <c r="AM1" s="57"/>
      <c r="AN1" s="59"/>
      <c r="AO1" s="56" t="s">
        <v>64</v>
      </c>
      <c r="AP1" s="57"/>
      <c r="AQ1" s="57"/>
      <c r="AR1" s="57"/>
      <c r="AS1" s="59"/>
      <c r="AT1" s="56" t="s">
        <v>65</v>
      </c>
      <c r="AU1" s="57"/>
      <c r="AV1" s="57"/>
      <c r="AW1" s="57"/>
      <c r="AX1" s="57"/>
      <c r="AY1" s="59"/>
      <c r="AZ1" s="56" t="s">
        <v>66</v>
      </c>
      <c r="BA1" s="60"/>
      <c r="BB1" s="60"/>
      <c r="BC1" s="61"/>
    </row>
    <row r="2" spans="1:55" s="62" customFormat="1">
      <c r="A2" s="63" t="s">
        <v>27</v>
      </c>
      <c r="B2" s="64"/>
      <c r="C2" s="64"/>
      <c r="D2" s="64"/>
      <c r="E2" s="64"/>
      <c r="F2" s="64"/>
      <c r="G2" s="64"/>
      <c r="H2" s="64"/>
      <c r="I2" s="64" t="s">
        <v>29</v>
      </c>
      <c r="J2" s="64"/>
      <c r="K2" s="64"/>
      <c r="L2" s="64"/>
      <c r="M2" s="64"/>
      <c r="N2" s="64"/>
      <c r="O2" s="64"/>
      <c r="P2" s="64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11" t="s">
        <v>2</v>
      </c>
      <c r="AE2" s="11"/>
      <c r="AF2" s="11"/>
      <c r="AG2" s="11"/>
      <c r="AH2" s="11"/>
      <c r="AI2" s="12">
        <f>MAX('Revision History'!D8:J28)</f>
        <v>43395</v>
      </c>
      <c r="AJ2" s="12"/>
      <c r="AK2" s="12"/>
      <c r="AL2" s="12"/>
      <c r="AM2" s="12"/>
      <c r="AN2" s="12"/>
      <c r="AO2" s="11" t="s">
        <v>2</v>
      </c>
      <c r="AP2" s="11"/>
      <c r="AQ2" s="11"/>
      <c r="AR2" s="11"/>
      <c r="AS2" s="11"/>
      <c r="AT2" s="12">
        <f>MAX('Revision History'!D8:J28)</f>
        <v>43395</v>
      </c>
      <c r="AU2" s="12"/>
      <c r="AV2" s="12"/>
      <c r="AW2" s="12"/>
      <c r="AX2" s="12"/>
      <c r="AY2" s="12"/>
      <c r="AZ2" s="13">
        <f>MAX('Revision History'!A8:C28)</f>
        <v>5</v>
      </c>
      <c r="BA2" s="13"/>
      <c r="BB2" s="13"/>
      <c r="BC2" s="13"/>
    </row>
    <row r="3" spans="1:55" s="62" customFormat="1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11"/>
      <c r="AE3" s="11"/>
      <c r="AF3" s="11"/>
      <c r="AG3" s="11"/>
      <c r="AH3" s="11"/>
      <c r="AI3" s="12"/>
      <c r="AJ3" s="12"/>
      <c r="AK3" s="12"/>
      <c r="AL3" s="12"/>
      <c r="AM3" s="12"/>
      <c r="AN3" s="12"/>
      <c r="AO3" s="11"/>
      <c r="AP3" s="11"/>
      <c r="AQ3" s="11"/>
      <c r="AR3" s="11"/>
      <c r="AS3" s="11"/>
      <c r="AT3" s="12"/>
      <c r="AU3" s="12"/>
      <c r="AV3" s="12"/>
      <c r="AW3" s="12"/>
      <c r="AX3" s="12"/>
      <c r="AY3" s="12"/>
      <c r="AZ3" s="13"/>
      <c r="BA3" s="13"/>
      <c r="BB3" s="13"/>
      <c r="BC3" s="13"/>
    </row>
    <row r="4" spans="1:55" s="68" customFormat="1" ht="15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7"/>
    </row>
    <row r="7" spans="1:55" ht="15">
      <c r="C7" s="70" t="s">
        <v>80</v>
      </c>
    </row>
    <row r="9" spans="1:55" ht="29.25" customHeight="1">
      <c r="D9" s="3" t="s">
        <v>45</v>
      </c>
      <c r="E9" s="3"/>
      <c r="F9" s="3"/>
      <c r="G9" s="3"/>
      <c r="H9" s="3"/>
      <c r="I9" s="3"/>
      <c r="J9" s="3"/>
      <c r="K9" s="3"/>
      <c r="L9" s="3"/>
      <c r="M9" s="3" t="s">
        <v>46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 t="s">
        <v>47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55" ht="64.5" customHeight="1">
      <c r="D10" s="4">
        <v>400</v>
      </c>
      <c r="E10" s="4"/>
      <c r="F10" s="4"/>
      <c r="G10" s="4"/>
      <c r="H10" s="4"/>
      <c r="I10" s="4"/>
      <c r="J10" s="4"/>
      <c r="K10" s="4"/>
      <c r="L10" s="4"/>
      <c r="M10" s="5" t="s">
        <v>52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6" t="s">
        <v>48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 spans="1:55" ht="64.5" customHeight="1">
      <c r="D11" s="4">
        <v>404</v>
      </c>
      <c r="E11" s="4"/>
      <c r="F11" s="4"/>
      <c r="G11" s="4"/>
      <c r="H11" s="4"/>
      <c r="I11" s="4"/>
      <c r="J11" s="4"/>
      <c r="K11" s="4"/>
      <c r="L11" s="4"/>
      <c r="M11" s="5" t="s">
        <v>50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6" t="s">
        <v>48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r="12" spans="1:55" ht="64.5" customHeight="1">
      <c r="D12" s="4">
        <v>500</v>
      </c>
      <c r="E12" s="4"/>
      <c r="F12" s="4"/>
      <c r="G12" s="4"/>
      <c r="H12" s="4"/>
      <c r="I12" s="4"/>
      <c r="J12" s="4"/>
      <c r="K12" s="4"/>
      <c r="L12" s="4"/>
      <c r="M12" s="5" t="s">
        <v>51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6" t="s">
        <v>48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</sheetData>
  <mergeCells count="27">
    <mergeCell ref="D12:L12"/>
    <mergeCell ref="M12:AE12"/>
    <mergeCell ref="AF12:AV12"/>
    <mergeCell ref="D11:L11"/>
    <mergeCell ref="M11:AE11"/>
    <mergeCell ref="AF11:AV11"/>
    <mergeCell ref="D9:L9"/>
    <mergeCell ref="M9:AE9"/>
    <mergeCell ref="AF9:AV9"/>
    <mergeCell ref="D10:L10"/>
    <mergeCell ref="M10:AE10"/>
    <mergeCell ref="AF10:AV10"/>
    <mergeCell ref="AT1:AY1"/>
    <mergeCell ref="AZ1:BC1"/>
    <mergeCell ref="A2:H3"/>
    <mergeCell ref="I2:P3"/>
    <mergeCell ref="AD2:AH3"/>
    <mergeCell ref="AI2:AN3"/>
    <mergeCell ref="AO2:AS3"/>
    <mergeCell ref="AT2:AY3"/>
    <mergeCell ref="AZ2:BC3"/>
    <mergeCell ref="A1:H1"/>
    <mergeCell ref="I1:P1"/>
    <mergeCell ref="Q1:AC3"/>
    <mergeCell ref="AD1:AH1"/>
    <mergeCell ref="AI1:AN1"/>
    <mergeCell ref="AO1:AS1"/>
  </mergeCells>
  <pageMargins left="0.7" right="0.7" top="0.75" bottom="0.75" header="0.3" footer="0.3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87"/>
  <sheetViews>
    <sheetView tabSelected="1" view="pageBreakPreview" zoomScaleNormal="100" zoomScaleSheetLayoutView="100" workbookViewId="0">
      <selection activeCell="Y15" sqref="Y15"/>
    </sheetView>
  </sheetViews>
  <sheetFormatPr defaultColWidth="2" defaultRowHeight="12.75" customHeight="1"/>
  <cols>
    <col min="1" max="55" width="2.85546875" style="14" customWidth="1"/>
    <col min="56" max="16384" width="2" style="14"/>
  </cols>
  <sheetData>
    <row r="1" spans="1:55" s="21" customFormat="1" ht="15">
      <c r="A1" s="16" t="s">
        <v>60</v>
      </c>
      <c r="B1" s="17"/>
      <c r="C1" s="17"/>
      <c r="D1" s="17"/>
      <c r="E1" s="17"/>
      <c r="F1" s="17"/>
      <c r="G1" s="17"/>
      <c r="H1" s="17"/>
      <c r="I1" s="16" t="s">
        <v>61</v>
      </c>
      <c r="J1" s="17"/>
      <c r="K1" s="17"/>
      <c r="L1" s="17"/>
      <c r="M1" s="17"/>
      <c r="N1" s="17"/>
      <c r="O1" s="17"/>
      <c r="P1" s="17"/>
      <c r="Q1" s="8" t="str">
        <f ca="1">MID(CELL("filename",A1),FIND("]",CELL("filename",A1))+1,255)</f>
        <v>Tìm kiếm theo mã bưu điện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6" t="s">
        <v>62</v>
      </c>
      <c r="AE1" s="17"/>
      <c r="AF1" s="17"/>
      <c r="AG1" s="17"/>
      <c r="AH1" s="18"/>
      <c r="AI1" s="16" t="s">
        <v>63</v>
      </c>
      <c r="AJ1" s="17"/>
      <c r="AK1" s="17"/>
      <c r="AL1" s="17"/>
      <c r="AM1" s="17"/>
      <c r="AN1" s="18"/>
      <c r="AO1" s="16" t="s">
        <v>64</v>
      </c>
      <c r="AP1" s="17"/>
      <c r="AQ1" s="17"/>
      <c r="AR1" s="17"/>
      <c r="AS1" s="18"/>
      <c r="AT1" s="16" t="s">
        <v>65</v>
      </c>
      <c r="AU1" s="17"/>
      <c r="AV1" s="17"/>
      <c r="AW1" s="17"/>
      <c r="AX1" s="17"/>
      <c r="AY1" s="18"/>
      <c r="AZ1" s="16" t="s">
        <v>66</v>
      </c>
      <c r="BA1" s="19"/>
      <c r="BB1" s="19"/>
      <c r="BC1" s="20"/>
    </row>
    <row r="2" spans="1:55" s="21" customFormat="1" ht="12.75" customHeight="1">
      <c r="A2" s="9" t="s">
        <v>27</v>
      </c>
      <c r="B2" s="10"/>
      <c r="C2" s="10"/>
      <c r="D2" s="10"/>
      <c r="E2" s="10"/>
      <c r="F2" s="10"/>
      <c r="G2" s="10"/>
      <c r="H2" s="10"/>
      <c r="I2" s="10" t="s">
        <v>29</v>
      </c>
      <c r="J2" s="10"/>
      <c r="K2" s="10"/>
      <c r="L2" s="10"/>
      <c r="M2" s="10"/>
      <c r="N2" s="10"/>
      <c r="O2" s="10"/>
      <c r="P2" s="10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11" t="s">
        <v>2</v>
      </c>
      <c r="AE2" s="11"/>
      <c r="AF2" s="11"/>
      <c r="AG2" s="11"/>
      <c r="AH2" s="11"/>
      <c r="AI2" s="12">
        <f>MAX('Revision History'!D8:J28)</f>
        <v>43395</v>
      </c>
      <c r="AJ2" s="12"/>
      <c r="AK2" s="12"/>
      <c r="AL2" s="12"/>
      <c r="AM2" s="12"/>
      <c r="AN2" s="12"/>
      <c r="AO2" s="11" t="s">
        <v>2</v>
      </c>
      <c r="AP2" s="11"/>
      <c r="AQ2" s="11"/>
      <c r="AR2" s="11"/>
      <c r="AS2" s="11"/>
      <c r="AT2" s="12">
        <f>MAX('Revision History'!D8:J28)</f>
        <v>43395</v>
      </c>
      <c r="AU2" s="12"/>
      <c r="AV2" s="12"/>
      <c r="AW2" s="12"/>
      <c r="AX2" s="12"/>
      <c r="AY2" s="12"/>
      <c r="AZ2" s="13">
        <f>MAX('Revision History'!A8:C28)</f>
        <v>5</v>
      </c>
      <c r="BA2" s="13"/>
      <c r="BB2" s="13"/>
      <c r="BC2" s="13"/>
    </row>
    <row r="3" spans="1:55" s="21" customFormat="1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1"/>
      <c r="AE3" s="11"/>
      <c r="AF3" s="11"/>
      <c r="AG3" s="11"/>
      <c r="AH3" s="11"/>
      <c r="AI3" s="12"/>
      <c r="AJ3" s="12"/>
      <c r="AK3" s="12"/>
      <c r="AL3" s="12"/>
      <c r="AM3" s="12"/>
      <c r="AN3" s="12"/>
      <c r="AO3" s="11"/>
      <c r="AP3" s="11"/>
      <c r="AQ3" s="11"/>
      <c r="AR3" s="11"/>
      <c r="AS3" s="11"/>
      <c r="AT3" s="12"/>
      <c r="AU3" s="12"/>
      <c r="AV3" s="12"/>
      <c r="AW3" s="12"/>
      <c r="AX3" s="12"/>
      <c r="AY3" s="12"/>
      <c r="AZ3" s="13"/>
      <c r="BA3" s="13"/>
      <c r="BB3" s="13"/>
      <c r="BC3" s="13"/>
    </row>
    <row r="4" spans="1:55" s="25" customFormat="1" ht="1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4"/>
    </row>
    <row r="6" spans="1:55" ht="12.75" customHeight="1">
      <c r="D6" s="15" t="s">
        <v>91</v>
      </c>
      <c r="H6" s="171" t="s">
        <v>93</v>
      </c>
    </row>
    <row r="8" spans="1:55" ht="15">
      <c r="C8" s="26" t="s">
        <v>56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</row>
    <row r="9" spans="1:55" ht="15"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</row>
    <row r="10" spans="1:55" ht="15">
      <c r="C10" s="27"/>
      <c r="D10" s="28" t="s">
        <v>85</v>
      </c>
      <c r="E10" s="29"/>
      <c r="F10" s="29"/>
      <c r="G10" s="29"/>
      <c r="H10" s="29"/>
      <c r="I10" s="29"/>
      <c r="J10" s="30"/>
      <c r="K10" s="28" t="s">
        <v>53</v>
      </c>
      <c r="L10" s="29"/>
      <c r="M10" s="29"/>
      <c r="N10" s="30"/>
      <c r="O10" s="28" t="s">
        <v>78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0"/>
      <c r="AC10" s="28" t="s">
        <v>55</v>
      </c>
      <c r="AD10" s="29"/>
      <c r="AE10" s="29"/>
      <c r="AF10" s="29"/>
      <c r="AG10" s="30"/>
    </row>
    <row r="11" spans="1:55" ht="15">
      <c r="C11" s="27"/>
      <c r="D11" s="34" t="s">
        <v>3</v>
      </c>
      <c r="E11" s="35"/>
      <c r="F11" s="35"/>
      <c r="G11" s="35"/>
      <c r="H11" s="35"/>
      <c r="I11" s="35"/>
      <c r="J11" s="36"/>
      <c r="K11" s="34" t="s">
        <v>54</v>
      </c>
      <c r="L11" s="35"/>
      <c r="M11" s="35"/>
      <c r="N11" s="36"/>
      <c r="O11" s="168" t="s">
        <v>26</v>
      </c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70"/>
      <c r="AC11" s="34" t="s">
        <v>4</v>
      </c>
      <c r="AD11" s="35"/>
      <c r="AE11" s="35"/>
      <c r="AF11" s="35"/>
      <c r="AG11" s="36"/>
    </row>
    <row r="12" spans="1:55" ht="15">
      <c r="C12" s="27"/>
      <c r="D12" s="37"/>
      <c r="E12" s="37"/>
      <c r="F12" s="37"/>
      <c r="G12" s="37"/>
      <c r="H12" s="37"/>
      <c r="I12" s="37"/>
      <c r="J12" s="3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</row>
    <row r="13" spans="1:55" ht="15">
      <c r="C13" s="26" t="s">
        <v>57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W13" s="27"/>
      <c r="AX13" s="27"/>
      <c r="AY13" s="27"/>
      <c r="AZ13" s="27"/>
      <c r="BA13" s="27"/>
    </row>
    <row r="14" spans="1:55" ht="15"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W14" s="27"/>
      <c r="AX14" s="27"/>
      <c r="AY14" s="27"/>
      <c r="AZ14" s="27"/>
      <c r="BA14" s="27"/>
    </row>
    <row r="15" spans="1:55" ht="15">
      <c r="C15" s="27"/>
      <c r="D15" s="51" t="s">
        <v>77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38" t="s">
        <v>0</v>
      </c>
      <c r="P15" s="39"/>
      <c r="Q15" s="39"/>
      <c r="R15" s="39"/>
      <c r="S15" s="39"/>
      <c r="T15" s="39"/>
      <c r="U15" s="40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O15" s="27"/>
      <c r="AP15" s="27"/>
      <c r="AQ15" s="27"/>
      <c r="AR15" s="27"/>
      <c r="AS15" s="27"/>
    </row>
    <row r="16" spans="1:55" ht="15">
      <c r="C16" s="27"/>
      <c r="D16" s="41" t="s">
        <v>98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2" t="s">
        <v>5</v>
      </c>
      <c r="P16" s="43"/>
      <c r="Q16" s="43"/>
      <c r="R16" s="43"/>
      <c r="S16" s="43"/>
      <c r="T16" s="43"/>
      <c r="U16" s="44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</row>
    <row r="17" spans="3:55" ht="15">
      <c r="C17" s="27"/>
      <c r="D17" s="31" t="s">
        <v>86</v>
      </c>
      <c r="E17" s="32"/>
      <c r="F17" s="32"/>
      <c r="G17" s="32"/>
      <c r="H17" s="32"/>
      <c r="I17" s="32"/>
      <c r="J17" s="32"/>
      <c r="K17" s="32"/>
      <c r="L17" s="32"/>
      <c r="M17" s="32"/>
      <c r="N17" s="33"/>
      <c r="O17" s="42" t="s">
        <v>6</v>
      </c>
      <c r="P17" s="43"/>
      <c r="Q17" s="43"/>
      <c r="R17" s="43"/>
      <c r="S17" s="43"/>
      <c r="T17" s="43"/>
      <c r="U17" s="44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</row>
    <row r="18" spans="3:55" ht="15" customHeight="1">
      <c r="C18" s="27"/>
      <c r="D18" s="45" t="s">
        <v>87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2" t="s">
        <v>7</v>
      </c>
      <c r="P18" s="43"/>
      <c r="Q18" s="43"/>
      <c r="R18" s="43"/>
      <c r="S18" s="43"/>
      <c r="T18" s="43"/>
      <c r="U18" s="44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</row>
    <row r="19" spans="3:55" ht="14.25" customHeight="1">
      <c r="C19" s="27"/>
      <c r="D19" s="45" t="s">
        <v>88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2" t="s">
        <v>8</v>
      </c>
      <c r="P19" s="43"/>
      <c r="Q19" s="43"/>
      <c r="R19" s="43"/>
      <c r="S19" s="43"/>
      <c r="T19" s="43"/>
      <c r="U19" s="44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</row>
    <row r="20" spans="3:55" ht="14.25" customHeight="1">
      <c r="C20" s="27"/>
      <c r="D20" s="45" t="s">
        <v>89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2" t="s">
        <v>9</v>
      </c>
      <c r="P20" s="43"/>
      <c r="Q20" s="43"/>
      <c r="R20" s="43"/>
      <c r="S20" s="43"/>
      <c r="T20" s="43"/>
      <c r="U20" s="44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</row>
    <row r="21" spans="3:55" ht="14.25" customHeight="1">
      <c r="C21" s="27"/>
      <c r="D21" s="45" t="s">
        <v>90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2" t="s">
        <v>10</v>
      </c>
      <c r="P21" s="43"/>
      <c r="Q21" s="43"/>
      <c r="R21" s="43"/>
      <c r="S21" s="43"/>
      <c r="T21" s="43"/>
      <c r="U21" s="44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</row>
    <row r="22" spans="3:55" ht="14.25" customHeight="1">
      <c r="C22" s="27"/>
      <c r="D22" s="45" t="s">
        <v>84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2" t="s">
        <v>23</v>
      </c>
      <c r="P22" s="43"/>
      <c r="Q22" s="43"/>
      <c r="R22" s="43"/>
      <c r="S22" s="43"/>
      <c r="T22" s="43"/>
      <c r="U22" s="44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</row>
    <row r="23" spans="3:55" ht="14.25" customHeight="1">
      <c r="C23" s="27"/>
      <c r="D23" s="45" t="s">
        <v>94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2" t="s">
        <v>11</v>
      </c>
      <c r="P23" s="43"/>
      <c r="Q23" s="43"/>
      <c r="R23" s="43"/>
      <c r="S23" s="43"/>
      <c r="T23" s="43"/>
      <c r="U23" s="44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</row>
    <row r="24" spans="3:55" ht="14.25" customHeight="1">
      <c r="C24" s="27"/>
      <c r="D24" s="45" t="s">
        <v>95</v>
      </c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2" t="s">
        <v>12</v>
      </c>
      <c r="P24" s="43"/>
      <c r="Q24" s="43"/>
      <c r="R24" s="43"/>
      <c r="S24" s="43"/>
      <c r="T24" s="43"/>
      <c r="U24" s="44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</row>
    <row r="25" spans="3:55" ht="14.25" customHeight="1">
      <c r="C25" s="27"/>
      <c r="D25" s="45" t="s">
        <v>96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2" t="s">
        <v>13</v>
      </c>
      <c r="P25" s="43"/>
      <c r="Q25" s="43"/>
      <c r="R25" s="43"/>
      <c r="S25" s="43"/>
      <c r="T25" s="43"/>
      <c r="U25" s="44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3:55" ht="14.25" customHeight="1">
      <c r="C26" s="27"/>
      <c r="D26" s="45" t="s">
        <v>99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2" t="s">
        <v>14</v>
      </c>
      <c r="P26" s="43"/>
      <c r="Q26" s="43"/>
      <c r="R26" s="43"/>
      <c r="S26" s="43"/>
      <c r="T26" s="43"/>
      <c r="U26" s="44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3:55" ht="14.25" customHeight="1">
      <c r="C27" s="27"/>
      <c r="D27" s="45" t="s">
        <v>97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2" t="s">
        <v>15</v>
      </c>
      <c r="P27" s="43"/>
      <c r="Q27" s="43"/>
      <c r="R27" s="43"/>
      <c r="S27" s="43"/>
      <c r="T27" s="43"/>
      <c r="U27" s="44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3:55" ht="14.25" customHeight="1">
      <c r="C28" s="27"/>
      <c r="D28" s="45" t="s">
        <v>100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2" t="s">
        <v>17</v>
      </c>
      <c r="P28" s="43"/>
      <c r="Q28" s="43"/>
      <c r="R28" s="43"/>
      <c r="S28" s="43"/>
      <c r="T28" s="43"/>
      <c r="U28" s="44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</row>
    <row r="29" spans="3:55" ht="14.25" customHeight="1">
      <c r="C29" s="27"/>
      <c r="D29" s="45" t="s">
        <v>101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2" t="s">
        <v>16</v>
      </c>
      <c r="P29" s="43"/>
      <c r="Q29" s="43"/>
      <c r="R29" s="43"/>
      <c r="S29" s="43"/>
      <c r="T29" s="43"/>
      <c r="U29" s="44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</row>
    <row r="30" spans="3:55" ht="14.25" customHeight="1">
      <c r="C30" s="27"/>
      <c r="D30" s="45" t="s">
        <v>102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2" t="s">
        <v>18</v>
      </c>
      <c r="P30" s="43"/>
      <c r="Q30" s="43"/>
      <c r="R30" s="43"/>
      <c r="S30" s="43"/>
      <c r="T30" s="43"/>
      <c r="U30" s="44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</row>
    <row r="31" spans="3:55" ht="14.25" customHeight="1">
      <c r="C31" s="27"/>
      <c r="D31" s="45" t="s">
        <v>103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2" t="s">
        <v>19</v>
      </c>
      <c r="P31" s="43"/>
      <c r="Q31" s="43"/>
      <c r="R31" s="43"/>
      <c r="S31" s="43"/>
      <c r="T31" s="43"/>
      <c r="U31" s="44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</row>
    <row r="32" spans="3:55" ht="14.25" customHeight="1">
      <c r="C32" s="27"/>
      <c r="D32" s="45" t="s">
        <v>104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2" t="s">
        <v>20</v>
      </c>
      <c r="P32" s="43"/>
      <c r="Q32" s="43"/>
      <c r="R32" s="43"/>
      <c r="S32" s="43"/>
      <c r="T32" s="43"/>
      <c r="U32" s="44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spans="3:43" ht="15">
      <c r="C33" s="27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5"/>
      <c r="S33" s="55"/>
      <c r="T33" s="55"/>
      <c r="U33" s="55"/>
      <c r="V33" s="55"/>
      <c r="W33" s="55"/>
      <c r="X33" s="55"/>
      <c r="Y33" s="55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</row>
    <row r="34" spans="3:43" ht="15">
      <c r="C34" s="2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</row>
    <row r="35" spans="3:43" ht="15">
      <c r="C35" s="47" t="s">
        <v>1</v>
      </c>
    </row>
    <row r="36" spans="3:43" ht="15">
      <c r="C36" s="27"/>
    </row>
    <row r="37" spans="3:43" ht="15">
      <c r="C37" s="26" t="s">
        <v>21</v>
      </c>
    </row>
    <row r="38" spans="3:43" ht="15">
      <c r="D38" s="48" t="s">
        <v>35</v>
      </c>
    </row>
    <row r="39" spans="3:43" ht="12.75" customHeight="1">
      <c r="D39" s="49" t="s">
        <v>37</v>
      </c>
    </row>
    <row r="40" spans="3:43" ht="12.75" customHeight="1">
      <c r="D40" s="49"/>
    </row>
    <row r="41" spans="3:43" ht="15">
      <c r="C41" s="15" t="s">
        <v>24</v>
      </c>
    </row>
    <row r="42" spans="3:43" ht="15">
      <c r="D42" s="14" t="s">
        <v>30</v>
      </c>
    </row>
    <row r="43" spans="3:43" ht="12.75" customHeight="1">
      <c r="E43" s="14" t="s">
        <v>43</v>
      </c>
    </row>
    <row r="44" spans="3:43" ht="12.75" customHeight="1">
      <c r="E44" s="14" t="s">
        <v>36</v>
      </c>
    </row>
    <row r="46" spans="3:43" ht="12.75" customHeight="1">
      <c r="E46" s="50" t="s">
        <v>31</v>
      </c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 spans="3:43" ht="15"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 spans="3:43" ht="15">
      <c r="D48" s="14" t="s">
        <v>79</v>
      </c>
    </row>
    <row r="49" spans="3:23" ht="12.75" customHeight="1">
      <c r="E49" s="49" t="s">
        <v>39</v>
      </c>
      <c r="O49" s="46"/>
      <c r="P49" s="46"/>
      <c r="Q49" s="46"/>
      <c r="R49" s="46"/>
      <c r="S49" s="46"/>
      <c r="T49" s="46"/>
      <c r="U49" s="46"/>
      <c r="V49" s="46"/>
      <c r="W49" s="46"/>
    </row>
    <row r="50" spans="3:23" ht="12.75" customHeight="1">
      <c r="E50" s="53" t="s">
        <v>38</v>
      </c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</row>
    <row r="52" spans="3:23" ht="15">
      <c r="D52" s="14" t="s">
        <v>76</v>
      </c>
    </row>
    <row r="53" spans="3:23" ht="15"/>
    <row r="54" spans="3:23" ht="15">
      <c r="C54" s="15" t="s">
        <v>22</v>
      </c>
    </row>
    <row r="86" spans="4:5" ht="12.75" customHeight="1">
      <c r="D86" s="15" t="s">
        <v>82</v>
      </c>
    </row>
    <row r="87" spans="4:5" ht="12.75" customHeight="1">
      <c r="E87" s="14" t="s">
        <v>81</v>
      </c>
    </row>
  </sheetData>
  <mergeCells count="42">
    <mergeCell ref="AT1:AY1"/>
    <mergeCell ref="AZ1:BC1"/>
    <mergeCell ref="A2:H3"/>
    <mergeCell ref="I2:P3"/>
    <mergeCell ref="AD2:AH3"/>
    <mergeCell ref="AI2:AN3"/>
    <mergeCell ref="AO2:AS3"/>
    <mergeCell ref="AT2:AY3"/>
    <mergeCell ref="AZ2:BC3"/>
    <mergeCell ref="A1:H1"/>
    <mergeCell ref="I1:P1"/>
    <mergeCell ref="Q1:AC3"/>
    <mergeCell ref="AD1:AH1"/>
    <mergeCell ref="AI1:AN1"/>
    <mergeCell ref="AO1:AS1"/>
    <mergeCell ref="D12:J12"/>
    <mergeCell ref="AC11:AG11"/>
    <mergeCell ref="D10:J10"/>
    <mergeCell ref="K10:N10"/>
    <mergeCell ref="O10:AB10"/>
    <mergeCell ref="AC10:AG10"/>
    <mergeCell ref="D11:J11"/>
    <mergeCell ref="K11:N11"/>
    <mergeCell ref="O11:AB11"/>
    <mergeCell ref="D28:N28"/>
    <mergeCell ref="D29:N29"/>
    <mergeCell ref="D30:N30"/>
    <mergeCell ref="D31:N31"/>
    <mergeCell ref="D32:N32"/>
    <mergeCell ref="D15:N15"/>
    <mergeCell ref="D16:N16"/>
    <mergeCell ref="D18:N18"/>
    <mergeCell ref="D20:N20"/>
    <mergeCell ref="D19:N19"/>
    <mergeCell ref="D17:N17"/>
    <mergeCell ref="D23:N23"/>
    <mergeCell ref="D24:N24"/>
    <mergeCell ref="D25:N25"/>
    <mergeCell ref="D26:N26"/>
    <mergeCell ref="D27:N27"/>
    <mergeCell ref="D21:N21"/>
    <mergeCell ref="D22:N22"/>
  </mergeCells>
  <pageMargins left="0.7" right="0.7" top="0.75" bottom="0.75" header="0.3" footer="0.3"/>
  <pageSetup scale="57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76"/>
  <sheetViews>
    <sheetView view="pageBreakPreview" topLeftCell="A7" zoomScaleNormal="100" zoomScaleSheetLayoutView="100" workbookViewId="0">
      <selection activeCell="AT20" sqref="AT20"/>
    </sheetView>
  </sheetViews>
  <sheetFormatPr defaultColWidth="2" defaultRowHeight="12.75" customHeight="1"/>
  <cols>
    <col min="1" max="55" width="2.85546875" style="14" customWidth="1"/>
    <col min="56" max="16384" width="2" style="14"/>
  </cols>
  <sheetData>
    <row r="1" spans="1:55" s="21" customFormat="1" ht="15">
      <c r="A1" s="16" t="s">
        <v>60</v>
      </c>
      <c r="B1" s="17"/>
      <c r="C1" s="17"/>
      <c r="D1" s="17"/>
      <c r="E1" s="17"/>
      <c r="F1" s="17"/>
      <c r="G1" s="17"/>
      <c r="H1" s="17"/>
      <c r="I1" s="16" t="s">
        <v>61</v>
      </c>
      <c r="J1" s="17"/>
      <c r="K1" s="17"/>
      <c r="L1" s="17"/>
      <c r="M1" s="17"/>
      <c r="N1" s="17"/>
      <c r="O1" s="17"/>
      <c r="P1" s="17"/>
      <c r="Q1" s="8" t="str">
        <f ca="1">MID(CELL("filename",A1),FIND("]",CELL("filename",A1))+1,255)</f>
        <v>Tìm kiếm theo mã tỉnh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6" t="s">
        <v>62</v>
      </c>
      <c r="AE1" s="17"/>
      <c r="AF1" s="17"/>
      <c r="AG1" s="17"/>
      <c r="AH1" s="18"/>
      <c r="AI1" s="16" t="s">
        <v>63</v>
      </c>
      <c r="AJ1" s="17"/>
      <c r="AK1" s="17"/>
      <c r="AL1" s="17"/>
      <c r="AM1" s="17"/>
      <c r="AN1" s="18"/>
      <c r="AO1" s="16" t="s">
        <v>64</v>
      </c>
      <c r="AP1" s="17"/>
      <c r="AQ1" s="17"/>
      <c r="AR1" s="17"/>
      <c r="AS1" s="18"/>
      <c r="AT1" s="16" t="s">
        <v>65</v>
      </c>
      <c r="AU1" s="17"/>
      <c r="AV1" s="17"/>
      <c r="AW1" s="17"/>
      <c r="AX1" s="17"/>
      <c r="AY1" s="18"/>
      <c r="AZ1" s="16" t="s">
        <v>66</v>
      </c>
      <c r="BA1" s="19"/>
      <c r="BB1" s="19"/>
      <c r="BC1" s="20"/>
    </row>
    <row r="2" spans="1:55" s="21" customFormat="1" ht="12.75" customHeight="1">
      <c r="A2" s="9" t="s">
        <v>27</v>
      </c>
      <c r="B2" s="10"/>
      <c r="C2" s="10"/>
      <c r="D2" s="10"/>
      <c r="E2" s="10"/>
      <c r="F2" s="10"/>
      <c r="G2" s="10"/>
      <c r="H2" s="10"/>
      <c r="I2" s="10" t="s">
        <v>29</v>
      </c>
      <c r="J2" s="10"/>
      <c r="K2" s="10"/>
      <c r="L2" s="10"/>
      <c r="M2" s="10"/>
      <c r="N2" s="10"/>
      <c r="O2" s="10"/>
      <c r="P2" s="10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11" t="s">
        <v>2</v>
      </c>
      <c r="AE2" s="11"/>
      <c r="AF2" s="11"/>
      <c r="AG2" s="11"/>
      <c r="AH2" s="11"/>
      <c r="AI2" s="12">
        <f>MAX('Revision History'!D8:J28)</f>
        <v>43395</v>
      </c>
      <c r="AJ2" s="12"/>
      <c r="AK2" s="12"/>
      <c r="AL2" s="12"/>
      <c r="AM2" s="12"/>
      <c r="AN2" s="12"/>
      <c r="AO2" s="11" t="s">
        <v>2</v>
      </c>
      <c r="AP2" s="11"/>
      <c r="AQ2" s="11"/>
      <c r="AR2" s="11"/>
      <c r="AS2" s="11"/>
      <c r="AT2" s="12">
        <f>MAX('Revision History'!D8:J28)</f>
        <v>43395</v>
      </c>
      <c r="AU2" s="12"/>
      <c r="AV2" s="12"/>
      <c r="AW2" s="12"/>
      <c r="AX2" s="12"/>
      <c r="AY2" s="12"/>
      <c r="AZ2" s="13">
        <f>MAX('Revision History'!A8:C28)</f>
        <v>5</v>
      </c>
      <c r="BA2" s="13"/>
      <c r="BB2" s="13"/>
      <c r="BC2" s="13"/>
    </row>
    <row r="3" spans="1:55" s="21" customFormat="1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1"/>
      <c r="AE3" s="11"/>
      <c r="AF3" s="11"/>
      <c r="AG3" s="11"/>
      <c r="AH3" s="11"/>
      <c r="AI3" s="12"/>
      <c r="AJ3" s="12"/>
      <c r="AK3" s="12"/>
      <c r="AL3" s="12"/>
      <c r="AM3" s="12"/>
      <c r="AN3" s="12"/>
      <c r="AO3" s="11"/>
      <c r="AP3" s="11"/>
      <c r="AQ3" s="11"/>
      <c r="AR3" s="11"/>
      <c r="AS3" s="11"/>
      <c r="AT3" s="12"/>
      <c r="AU3" s="12"/>
      <c r="AV3" s="12"/>
      <c r="AW3" s="12"/>
      <c r="AX3" s="12"/>
      <c r="AY3" s="12"/>
      <c r="AZ3" s="13"/>
      <c r="BA3" s="13"/>
      <c r="BB3" s="13"/>
      <c r="BC3" s="13"/>
    </row>
    <row r="4" spans="1:55" s="25" customFormat="1" ht="1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4"/>
    </row>
    <row r="7" spans="1:55" ht="12.75" customHeight="1">
      <c r="D7" s="15" t="s">
        <v>83</v>
      </c>
      <c r="H7" s="14" t="s">
        <v>92</v>
      </c>
    </row>
    <row r="9" spans="1:55" ht="15">
      <c r="C9" s="26" t="s">
        <v>58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</row>
    <row r="10" spans="1:55" ht="15"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</row>
    <row r="11" spans="1:55" ht="15">
      <c r="C11" s="27"/>
      <c r="D11" s="28" t="s">
        <v>85</v>
      </c>
      <c r="E11" s="29"/>
      <c r="F11" s="29"/>
      <c r="G11" s="29"/>
      <c r="H11" s="29"/>
      <c r="I11" s="29"/>
      <c r="J11" s="30"/>
      <c r="K11" s="28" t="s">
        <v>53</v>
      </c>
      <c r="L11" s="29"/>
      <c r="M11" s="29"/>
      <c r="N11" s="30"/>
      <c r="O11" s="28" t="s">
        <v>78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30"/>
      <c r="AC11" s="28" t="s">
        <v>55</v>
      </c>
      <c r="AD11" s="29"/>
      <c r="AE11" s="29"/>
      <c r="AF11" s="29"/>
      <c r="AG11" s="30"/>
    </row>
    <row r="12" spans="1:55" ht="15">
      <c r="C12" s="27"/>
      <c r="D12" s="34" t="s">
        <v>25</v>
      </c>
      <c r="E12" s="35"/>
      <c r="F12" s="35"/>
      <c r="G12" s="35"/>
      <c r="H12" s="35"/>
      <c r="I12" s="35"/>
      <c r="J12" s="36"/>
      <c r="K12" s="34" t="s">
        <v>54</v>
      </c>
      <c r="L12" s="35"/>
      <c r="M12" s="35"/>
      <c r="N12" s="36"/>
      <c r="O12" s="168" t="s">
        <v>26</v>
      </c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70"/>
      <c r="AC12" s="34" t="s">
        <v>4</v>
      </c>
      <c r="AD12" s="35"/>
      <c r="AE12" s="35"/>
      <c r="AF12" s="35"/>
      <c r="AG12" s="36"/>
    </row>
    <row r="13" spans="1:55" ht="15">
      <c r="C13" s="27"/>
      <c r="D13" s="37"/>
      <c r="E13" s="37"/>
      <c r="F13" s="37"/>
      <c r="G13" s="37"/>
      <c r="H13" s="37"/>
      <c r="I13" s="37"/>
      <c r="J13" s="3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</row>
    <row r="14" spans="1:55" ht="15">
      <c r="C14" s="26" t="s">
        <v>59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W14" s="27"/>
      <c r="AX14" s="27"/>
      <c r="AY14" s="27"/>
      <c r="AZ14" s="27"/>
      <c r="BA14" s="27"/>
    </row>
    <row r="15" spans="1:55" ht="15"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W15" s="27"/>
      <c r="AX15" s="27"/>
      <c r="AY15" s="27"/>
      <c r="AZ15" s="27"/>
      <c r="BA15" s="27"/>
    </row>
    <row r="16" spans="1:55" ht="15">
      <c r="C16" s="26"/>
      <c r="D16" s="51" t="s">
        <v>77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38" t="s">
        <v>0</v>
      </c>
      <c r="P16" s="39"/>
      <c r="Q16" s="39"/>
      <c r="R16" s="39"/>
      <c r="S16" s="39"/>
      <c r="T16" s="39"/>
      <c r="U16" s="40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O16" s="27"/>
      <c r="AP16" s="27"/>
      <c r="AQ16" s="27"/>
      <c r="AR16" s="27"/>
      <c r="AS16" s="27"/>
    </row>
    <row r="17" spans="3:45" ht="15">
      <c r="C17" s="26"/>
      <c r="D17" s="41" t="s">
        <v>98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 t="s">
        <v>5</v>
      </c>
      <c r="P17" s="43"/>
      <c r="Q17" s="43"/>
      <c r="R17" s="43"/>
      <c r="S17" s="43"/>
      <c r="T17" s="43"/>
      <c r="U17" s="44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O17" s="27"/>
      <c r="AP17" s="27"/>
      <c r="AQ17" s="27"/>
      <c r="AR17" s="27"/>
      <c r="AS17" s="27"/>
    </row>
    <row r="18" spans="3:45" ht="15">
      <c r="C18" s="26"/>
      <c r="D18" s="31" t="s">
        <v>86</v>
      </c>
      <c r="E18" s="32"/>
      <c r="F18" s="32"/>
      <c r="G18" s="32"/>
      <c r="H18" s="32"/>
      <c r="I18" s="32"/>
      <c r="J18" s="32"/>
      <c r="K18" s="32"/>
      <c r="L18" s="32"/>
      <c r="M18" s="32"/>
      <c r="N18" s="33"/>
      <c r="O18" s="42" t="s">
        <v>6</v>
      </c>
      <c r="P18" s="43"/>
      <c r="Q18" s="43"/>
      <c r="R18" s="43"/>
      <c r="S18" s="43"/>
      <c r="T18" s="43"/>
      <c r="U18" s="44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O18" s="27"/>
      <c r="AP18" s="27"/>
      <c r="AQ18" s="27"/>
      <c r="AR18" s="27"/>
      <c r="AS18" s="27"/>
    </row>
    <row r="19" spans="3:45" ht="15">
      <c r="C19" s="26"/>
      <c r="D19" s="45" t="s">
        <v>87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2" t="s">
        <v>7</v>
      </c>
      <c r="P19" s="43"/>
      <c r="Q19" s="43"/>
      <c r="R19" s="43"/>
      <c r="S19" s="43"/>
      <c r="T19" s="43"/>
      <c r="U19" s="44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O19" s="27"/>
      <c r="AP19" s="27"/>
      <c r="AQ19" s="27"/>
      <c r="AR19" s="27"/>
      <c r="AS19" s="27"/>
    </row>
    <row r="20" spans="3:45" ht="15">
      <c r="C20" s="26"/>
      <c r="D20" s="45" t="s">
        <v>88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2" t="s">
        <v>8</v>
      </c>
      <c r="P20" s="43"/>
      <c r="Q20" s="43"/>
      <c r="R20" s="43"/>
      <c r="S20" s="43"/>
      <c r="T20" s="43"/>
      <c r="U20" s="44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O20" s="27"/>
      <c r="AP20" s="27"/>
      <c r="AQ20" s="27"/>
      <c r="AR20" s="27"/>
      <c r="AS20" s="27"/>
    </row>
    <row r="21" spans="3:45" ht="15">
      <c r="C21" s="26"/>
      <c r="D21" s="45" t="s">
        <v>89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2" t="s">
        <v>9</v>
      </c>
      <c r="P21" s="43"/>
      <c r="Q21" s="43"/>
      <c r="R21" s="43"/>
      <c r="S21" s="43"/>
      <c r="T21" s="43"/>
      <c r="U21" s="44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O21" s="27"/>
      <c r="AP21" s="27"/>
      <c r="AQ21" s="27"/>
      <c r="AR21" s="27"/>
      <c r="AS21" s="27"/>
    </row>
    <row r="22" spans="3:45" ht="15">
      <c r="C22" s="26"/>
      <c r="D22" s="45" t="s">
        <v>90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2" t="s">
        <v>10</v>
      </c>
      <c r="P22" s="43"/>
      <c r="Q22" s="43"/>
      <c r="R22" s="43"/>
      <c r="S22" s="43"/>
      <c r="T22" s="43"/>
      <c r="U22" s="44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O22" s="27"/>
      <c r="AP22" s="27"/>
      <c r="AQ22" s="27"/>
      <c r="AR22" s="27"/>
      <c r="AS22" s="27"/>
    </row>
    <row r="23" spans="3:45" ht="15">
      <c r="C23" s="26"/>
      <c r="D23" s="45" t="s">
        <v>84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2" t="s">
        <v>23</v>
      </c>
      <c r="P23" s="43"/>
      <c r="Q23" s="43"/>
      <c r="R23" s="43"/>
      <c r="S23" s="43"/>
      <c r="T23" s="43"/>
      <c r="U23" s="44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O23" s="27"/>
      <c r="AP23" s="27"/>
      <c r="AQ23" s="27"/>
      <c r="AR23" s="27"/>
      <c r="AS23" s="27"/>
    </row>
    <row r="24" spans="3:45" ht="15">
      <c r="C24" s="27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</row>
    <row r="25" spans="3:45" ht="15">
      <c r="C25" s="47" t="s">
        <v>1</v>
      </c>
    </row>
    <row r="26" spans="3:45" ht="15">
      <c r="C26" s="27"/>
    </row>
    <row r="27" spans="3:45" ht="15">
      <c r="D27" s="26" t="s">
        <v>21</v>
      </c>
    </row>
    <row r="28" spans="3:45" ht="15">
      <c r="E28" s="48" t="s">
        <v>35</v>
      </c>
    </row>
    <row r="29" spans="3:45" ht="15">
      <c r="E29" s="49" t="s">
        <v>40</v>
      </c>
    </row>
    <row r="30" spans="3:45" ht="15">
      <c r="E30" s="49"/>
    </row>
    <row r="31" spans="3:45" ht="12.75" customHeight="1">
      <c r="D31" s="15" t="s">
        <v>24</v>
      </c>
    </row>
    <row r="32" spans="3:45" ht="15">
      <c r="E32" s="14" t="s">
        <v>32</v>
      </c>
    </row>
    <row r="33" spans="4:27" ht="15">
      <c r="F33" s="14" t="s">
        <v>41</v>
      </c>
    </row>
    <row r="34" spans="4:27" ht="12.75" customHeight="1">
      <c r="F34" s="14" t="s">
        <v>42</v>
      </c>
    </row>
    <row r="35" spans="4:27" ht="15"/>
    <row r="36" spans="4:27" s="50" customFormat="1" ht="15">
      <c r="F36" s="50" t="s">
        <v>31</v>
      </c>
    </row>
    <row r="37" spans="4:27" ht="15"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 spans="4:27" ht="12.75" customHeight="1">
      <c r="E38" s="14" t="s">
        <v>79</v>
      </c>
    </row>
    <row r="39" spans="4:27" ht="15">
      <c r="F39" s="49" t="s">
        <v>44</v>
      </c>
    </row>
    <row r="40" spans="4:27" ht="15">
      <c r="F40" s="53" t="s">
        <v>39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 spans="4:27" ht="15"/>
    <row r="42" spans="4:27" ht="15">
      <c r="E42" s="14" t="s">
        <v>75</v>
      </c>
    </row>
    <row r="43" spans="4:27" ht="15"/>
    <row r="44" spans="4:27" ht="14.25" customHeight="1">
      <c r="D44" s="15" t="s">
        <v>22</v>
      </c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75" spans="4:5" ht="12.75" customHeight="1">
      <c r="D75" s="15" t="s">
        <v>82</v>
      </c>
    </row>
    <row r="76" spans="4:5" ht="12.75" customHeight="1">
      <c r="E76" s="14" t="s">
        <v>81</v>
      </c>
    </row>
  </sheetData>
  <mergeCells count="32">
    <mergeCell ref="AT1:AY1"/>
    <mergeCell ref="AZ1:BC1"/>
    <mergeCell ref="A2:H3"/>
    <mergeCell ref="I2:P3"/>
    <mergeCell ref="AD2:AH3"/>
    <mergeCell ref="AI2:AN3"/>
    <mergeCell ref="AO2:AS3"/>
    <mergeCell ref="AT2:AY3"/>
    <mergeCell ref="AZ2:BC3"/>
    <mergeCell ref="A1:H1"/>
    <mergeCell ref="I1:P1"/>
    <mergeCell ref="Q1:AC3"/>
    <mergeCell ref="AD1:AH1"/>
    <mergeCell ref="AI1:AN1"/>
    <mergeCell ref="AO1:AS1"/>
    <mergeCell ref="AC12:AG12"/>
    <mergeCell ref="D11:J11"/>
    <mergeCell ref="K11:N11"/>
    <mergeCell ref="O11:AB11"/>
    <mergeCell ref="AC11:AG11"/>
    <mergeCell ref="D12:J12"/>
    <mergeCell ref="K12:N12"/>
    <mergeCell ref="O12:AB12"/>
    <mergeCell ref="D23:N23"/>
    <mergeCell ref="D13:J13"/>
    <mergeCell ref="D16:N16"/>
    <mergeCell ref="D17:N17"/>
    <mergeCell ref="D18:N18"/>
    <mergeCell ref="D19:N19"/>
    <mergeCell ref="D20:N20"/>
    <mergeCell ref="D21:N21"/>
    <mergeCell ref="D22:N22"/>
  </mergeCells>
  <pageMargins left="0.7" right="0.7" top="0.75" bottom="0.75" header="0.3" footer="0.3"/>
  <pageSetup scale="57" fitToHeight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Title</vt:lpstr>
      <vt:lpstr>Revision History</vt:lpstr>
      <vt:lpstr>Common</vt:lpstr>
      <vt:lpstr>Tìm kiếm theo mã bưu điện</vt:lpstr>
      <vt:lpstr>Tìm kiếm theo mã tỉnh</vt:lpstr>
      <vt:lpstr>Common!Print_Area</vt:lpstr>
      <vt:lpstr>'Revision History'!Print_Area</vt:lpstr>
      <vt:lpstr>'Tìm kiếm theo mã bưu điện'!Print_Area</vt:lpstr>
      <vt:lpstr>'Tìm kiếm theo mã tỉnh'!Print_Area</vt:lpstr>
      <vt:lpstr>Title!Print_Area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2018-10-22T12:17:17Z</dcterms:modified>
</cp:coreProperties>
</file>